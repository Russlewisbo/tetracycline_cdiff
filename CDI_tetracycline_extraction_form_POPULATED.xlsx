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tudies" sheetId="3" state="visible" r:id="rId3"/>
    <sheet xmlns:r="http://schemas.openxmlformats.org/officeDocument/2006/relationships" name="Estimates" sheetId="4" state="visible" r:id="rId4"/>
    <sheet xmlns:r="http://schemas.openxmlformats.org/officeDocument/2006/relationships" name="Combination_therapy" sheetId="5" state="visible" r:id="rId5"/>
    <sheet xmlns:r="http://schemas.openxmlformats.org/officeDocument/2006/relationships" name="Covariate_matrix" sheetId="6" state="visible" r:id="rId6"/>
    <sheet xmlns:r="http://schemas.openxmlformats.org/officeDocument/2006/relationships" name="RoB_NOS" sheetId="7" state="visible" r:id="rId7"/>
    <sheet xmlns:r="http://schemas.openxmlformats.org/officeDocument/2006/relationships" name="RoB2_RCT" sheetId="8" state="visible" r:id="rId8"/>
    <sheet xmlns:r="http://schemas.openxmlformats.org/officeDocument/2006/relationships" name="Analysis_dataset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2F5496"/>
    </font>
    <font>
      <name val="Arial"/>
      <b val="1"/>
    </font>
    <font>
      <name val="Arial"/>
      <sz val="10"/>
    </font>
    <font>
      <name val="Arial"/>
      <b val="1"/>
      <color rgb="002F5496"/>
      <sz val="14"/>
    </font>
    <font>
      <name val="Arial"/>
      <i val="1"/>
      <color rgb="00666666"/>
      <sz val="9"/>
    </font>
    <font>
      <name val="Arial"/>
      <b val="1"/>
      <color rgb="002F5496"/>
      <sz val="11"/>
    </font>
    <font>
      <name val="&lt;openpyxl.styles.alignment.Alignment object&gt;&#10;Parameters:&#10;horizontal=None, vertical='top', textRotation=0, wrapText=True, shrinkToFit=None, indent=0.0, relativeIndent=0.0, justifyLastLine=None, readingOrder=0.0"/>
    </font>
    <font>
      <name val="Arial"/>
      <i val="1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FFF7E0"/>
      </patternFill>
    </fill>
    <fill>
      <patternFill patternType="solid">
        <fgColor rgb="00EAEAE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11" fillId="5" borderId="0" pivotButton="0" quotePrefix="0" xfId="0"/>
    <xf numFmtId="0" fontId="12" fillId="5" borderId="1" applyAlignment="1" pivotButton="0" quotePrefix="0" xfId="0">
      <alignment horizontal="center" vertical="top"/>
    </xf>
    <xf numFmtId="0" fontId="3" fillId="6" borderId="1" pivotButton="0" quotePrefix="0" xfId="0"/>
    <xf numFmtId="0" fontId="0" fillId="3" borderId="1" applyAlignment="1" pivotButton="0" quotePrefix="0" xfId="0">
      <alignment horizontal="center" vertical="top"/>
    </xf>
    <xf numFmtId="0" fontId="5" fillId="0" borderId="0" pivotButton="0" quotePrefix="0" xfId="0"/>
    <xf numFmtId="0" fontId="3" fillId="4" borderId="1" applyAlignment="1" pivotButton="0" quotePrefix="0" xfId="0">
      <alignment vertical="top"/>
    </xf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0" customWidth="1" min="3" max="3"/>
  </cols>
  <sheetData>
    <row r="1">
      <c r="B1" s="1" t="inlineStr">
        <is>
          <t>Data Extraction Form — Tetracyclines &amp; Clostridioides difficile Infection</t>
        </is>
      </c>
    </row>
    <row r="3">
      <c r="B3" s="2" t="inlineStr">
        <is>
          <t>Systematic review &amp; Bayesian random-effects meta-analysis (University of Padua thesis). Companion to the registered PROSPERO protocol.</t>
        </is>
      </c>
    </row>
    <row r="5">
      <c r="B5" s="3" t="inlineStr">
        <is>
          <t>PURPOSE</t>
        </is>
      </c>
    </row>
    <row r="6" ht="44" customHeight="1">
      <c r="B6" s="4" t="inlineStr">
        <is>
          <t>Structured, dual-reviewer extraction of the tetracycline-class vs other-antibiotic association with INCIDENT CDI, plus combination therapy and covariates, in a form whose output feeds the Bayesian model directly (per-study log-OR and its standard error).</t>
        </is>
      </c>
    </row>
    <row r="8">
      <c r="B8" s="3" t="inlineStr">
        <is>
          <t>WORKFLOW (per PROSPERO §16–17)</t>
        </is>
      </c>
    </row>
    <row r="9">
      <c r="B9" s="4" t="inlineStr">
        <is>
          <t>1. Register PROSPERO before any extraction. Screening/scoping only until then.</t>
        </is>
      </c>
    </row>
    <row r="10">
      <c r="B10" s="4" t="inlineStr">
        <is>
          <t>2. TWO reviewers extract each study independently into their own copy of this workbook.</t>
        </is>
      </c>
    </row>
    <row r="11">
      <c r="B11" s="4" t="inlineStr">
        <is>
          <t>3. One row per STUDY in 'Studies'; one row per reported EFFECT ESTIMATE in 'Estimates' (a study can have many).</t>
        </is>
      </c>
    </row>
    <row r="12">
      <c r="B12" s="4" t="inlineStr">
        <is>
          <t>4. Prefer the ADJUSTED estimate; if only crude data exist, enter the 2x2 counts and the sheet computes the crude log-OR.</t>
        </is>
      </c>
    </row>
    <row r="13">
      <c r="B13" s="4" t="inlineStr">
        <is>
          <t>5. Flag exactly ONE estimate per study as Used_in_primary = Yes; 'Analysis_dataset' then auto-pulls its log-OR + SE.</t>
        </is>
      </c>
    </row>
    <row r="14">
      <c r="B14" s="4" t="inlineStr">
        <is>
          <t>6. Reconcile the two extractions; record disagreements and Cohen's kappa; a third reviewer breaks ties.</t>
        </is>
      </c>
    </row>
    <row r="15">
      <c r="B15" s="4" t="inlineStr">
        <is>
          <t>7. Complete risk of bias (NOS for observational, RoB2 for RCTs) and the covariate/adjustment matrix.</t>
        </is>
      </c>
    </row>
    <row r="17">
      <c r="B17" s="3" t="inlineStr">
        <is>
          <t>LEGEND</t>
        </is>
      </c>
    </row>
    <row r="18">
      <c r="B18" s="5" t="n"/>
      <c r="C18" s="6" t="inlineStr">
        <is>
          <t>Enter data here</t>
        </is>
      </c>
    </row>
    <row r="19">
      <c r="B19" s="7" t="n"/>
      <c r="C19" s="6" t="inlineStr">
        <is>
          <t>Auto-computed (do not type over)</t>
        </is>
      </c>
    </row>
    <row r="20">
      <c r="B20" s="8" t="n"/>
      <c r="C20" s="6" t="inlineStr">
        <is>
          <t>Example row — delete before use</t>
        </is>
      </c>
    </row>
    <row r="21">
      <c r="B21" s="9" t="n"/>
      <c r="C21" s="6" t="inlineStr">
        <is>
          <t>Pre-seeded, UNVERIFIED — verify vs source</t>
        </is>
      </c>
    </row>
    <row r="23">
      <c r="B23" s="3" t="inlineStr">
        <is>
          <t>SHEETS</t>
        </is>
      </c>
    </row>
    <row r="24">
      <c r="B24" s="4" t="inlineStr">
        <is>
          <t>• Codebook — every variable, its type, allowed values, definition, and PROSPERO reference.</t>
        </is>
      </c>
    </row>
    <row r="25">
      <c r="B25" s="4" t="inlineStr">
        <is>
          <t>• Studies — one row per study (bibliographic, design, setting, population, CDI definition).</t>
        </is>
      </c>
    </row>
    <row r="26">
      <c r="B26" s="4" t="inlineStr">
        <is>
          <t>• Estimates — one row per effect estimate; holds tetracycline-vs-comparator AND each antibiotic class's own CDI estimate. Auto-computes yi = log-OR and sei.</t>
        </is>
      </c>
    </row>
    <row r="27">
      <c r="B27" s="4" t="inlineStr">
        <is>
          <t>• Combination_therapy — whether tetracycline was combined with other agents and any combination-specific CDI estimate.</t>
        </is>
      </c>
    </row>
    <row r="28">
      <c r="B28" s="4" t="inlineStr">
        <is>
          <t>• Covariate_matrix — what each study adjusted/matched/stratified for (confounding + meta-regression).</t>
        </is>
      </c>
    </row>
    <row r="29">
      <c r="B29" s="4" t="inlineStr">
        <is>
          <t>• RoB_NOS — Newcastle-Ottawa Scale (cohort &amp; case-control).</t>
        </is>
      </c>
    </row>
    <row r="30">
      <c r="B30" s="4" t="inlineStr">
        <is>
          <t>• RoB2_RCT — Cochrane RoB 2 (randomized trials).</t>
        </is>
      </c>
    </row>
    <row r="31">
      <c r="B31" s="4" t="inlineStr">
        <is>
          <t>• Analysis_dataset — auto-derived per-study yi &amp; sei ready for brms / bayesmeta / PyMC.</t>
        </is>
      </c>
    </row>
    <row r="32">
      <c r="B32" s="4" t="inlineStr">
        <is>
          <t>• Lookups — drop-down source lists (do not edit).</t>
        </is>
      </c>
    </row>
    <row r="34">
      <c r="B34" s="3" t="inlineStr">
        <is>
          <t>BAYESIAN MODEL THIS FEEDS (PROSPERO §19)</t>
        </is>
      </c>
    </row>
    <row r="35" ht="16" customHeight="1">
      <c r="B35" s="10" t="inlineStr">
        <is>
          <t>yi ~ Normal(theta_i, sei^2);  theta_i ~ Normal(mu, tau^2);  mu ~ Normal(0,1^2);  tau ~ Half-Normal(0,0.5).</t>
        </is>
      </c>
    </row>
    <row r="36" ht="44" customHeight="1">
      <c r="B36" s="4" t="inlineStr">
        <is>
          <t>Prior-sensitivity on mu: vague N(0,10^2); sceptical N(0,0.35^2); literature-informed N(log 0.62, 0.10^2) (Tariq 2018 pooled OR 0.62). Report pooled OR + 95% CrI, tau, prediction interval, P(OR&lt;1), P(OR&lt;0.80).</t>
        </is>
      </c>
    </row>
    <row r="37" ht="30" customHeight="1">
      <c r="B37" s="4" t="inlineStr">
        <is>
          <t>Effect-size convention: RR/HR/IRR are entered as reported and treated as approximating OR for the rare CDI outcome (flag in Scale_note for a sensitivity analysis).</t>
        </is>
      </c>
    </row>
    <row r="39">
      <c r="B39" s="11" t="inlineStr">
        <is>
          <t>Reviewer: __________   Independent-copy ID: ______   Date started: 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14" customWidth="1" min="4" max="4"/>
    <col width="34" customWidth="1" min="5" max="5"/>
    <col width="60" customWidth="1" min="6" max="6"/>
    <col width="12" customWidth="1" min="7" max="7"/>
  </cols>
  <sheetData>
    <row r="1" ht="42" customHeight="1">
      <c r="A1" s="12" t="inlineStr">
        <is>
          <t>Sheet</t>
        </is>
      </c>
      <c r="B1" s="12" t="inlineStr">
        <is>
          <t>Variable</t>
        </is>
      </c>
      <c r="C1" s="12" t="inlineStr">
        <is>
          <t>Label / prompt</t>
        </is>
      </c>
      <c r="D1" s="12" t="inlineStr">
        <is>
          <t>Type</t>
        </is>
      </c>
      <c r="E1" s="12" t="inlineStr">
        <is>
          <t>Allowed values / units</t>
        </is>
      </c>
      <c r="F1" s="12" t="inlineStr">
        <is>
          <t>Definition &amp; extraction instruction</t>
        </is>
      </c>
      <c r="G1" s="12" t="inlineStr">
        <is>
          <t>PROSPERO ref</t>
        </is>
      </c>
    </row>
    <row r="2">
      <c r="A2" s="13" t="inlineStr">
        <is>
          <t>Studies</t>
        </is>
      </c>
      <c r="B2" s="14" t="inlineStr">
        <is>
          <t>Study_ID</t>
        </is>
      </c>
      <c r="C2" s="13" t="inlineStr">
        <is>
          <t>Study identifier</t>
        </is>
      </c>
      <c r="D2" s="13" t="inlineStr">
        <is>
          <t>text</t>
        </is>
      </c>
      <c r="E2" s="13" t="inlineStr">
        <is>
          <t>S01, S02, …</t>
        </is>
      </c>
      <c r="F2" s="13" t="inlineStr">
        <is>
          <t>Unique per study; primary key linking all sheets.</t>
        </is>
      </c>
      <c r="G2" s="13" t="inlineStr">
        <is>
          <t>§16</t>
        </is>
      </c>
    </row>
    <row r="3">
      <c r="A3" s="13" t="inlineStr">
        <is>
          <t>Studies</t>
        </is>
      </c>
      <c r="B3" s="14" t="inlineStr">
        <is>
          <t>First_author</t>
        </is>
      </c>
      <c r="C3" s="13" t="inlineStr">
        <is>
          <t>First author</t>
        </is>
      </c>
      <c r="D3" s="13" t="inlineStr">
        <is>
          <t>text</t>
        </is>
      </c>
      <c r="E3" s="13" t="inlineStr">
        <is>
          <t>surname</t>
        </is>
      </c>
      <c r="F3" s="13" t="inlineStr"/>
      <c r="G3" s="13" t="inlineStr"/>
    </row>
    <row r="4">
      <c r="A4" s="13" t="inlineStr">
        <is>
          <t>Studies</t>
        </is>
      </c>
      <c r="B4" s="14" t="inlineStr">
        <is>
          <t>Year</t>
        </is>
      </c>
      <c r="C4" s="13" t="inlineStr">
        <is>
          <t>Publication year</t>
        </is>
      </c>
      <c r="D4" s="13" t="inlineStr">
        <is>
          <t>number</t>
        </is>
      </c>
      <c r="E4" s="13" t="inlineStr">
        <is>
          <t>yyyy</t>
        </is>
      </c>
      <c r="F4" s="13" t="inlineStr"/>
      <c r="G4" s="13" t="inlineStr"/>
    </row>
    <row r="5">
      <c r="A5" s="13" t="inlineStr">
        <is>
          <t>Studies</t>
        </is>
      </c>
      <c r="B5" s="14" t="inlineStr">
        <is>
          <t>Design</t>
        </is>
      </c>
      <c r="C5" s="13" t="inlineStr">
        <is>
          <t>Study design</t>
        </is>
      </c>
      <c r="D5" s="13" t="inlineStr">
        <is>
          <t>list</t>
        </is>
      </c>
      <c r="E5" s="13" t="inlineStr">
        <is>
          <t>see Lookups:design</t>
        </is>
      </c>
      <c r="F5" s="13" t="inlineStr">
        <is>
          <t>Cohort / case-control / RCT etc.</t>
        </is>
      </c>
      <c r="G5" s="13" t="inlineStr">
        <is>
          <t>§13-S,17</t>
        </is>
      </c>
    </row>
    <row r="6">
      <c r="A6" s="13" t="inlineStr">
        <is>
          <t>Studies</t>
        </is>
      </c>
      <c r="B6" s="14" t="inlineStr">
        <is>
          <t>Setting</t>
        </is>
      </c>
      <c r="C6" s="13" t="inlineStr">
        <is>
          <t>Care setting</t>
        </is>
      </c>
      <c r="D6" s="13" t="inlineStr">
        <is>
          <t>list</t>
        </is>
      </c>
      <c r="E6" s="13" t="inlineStr">
        <is>
          <t>see Lookups:setting</t>
        </is>
      </c>
      <c r="F6" s="13" t="inlineStr"/>
      <c r="G6" s="13" t="inlineStr">
        <is>
          <t>§17</t>
        </is>
      </c>
    </row>
    <row r="7">
      <c r="A7" s="13" t="inlineStr">
        <is>
          <t>Studies</t>
        </is>
      </c>
      <c r="B7" s="14" t="inlineStr">
        <is>
          <t>Care_context</t>
        </is>
      </c>
      <c r="C7" s="13" t="inlineStr">
        <is>
          <t>CDI acquisition context</t>
        </is>
      </c>
      <c r="D7" s="13" t="inlineStr">
        <is>
          <t>list</t>
        </is>
      </c>
      <c r="E7" s="13" t="inlineStr">
        <is>
          <t>see Lookups:care_context</t>
        </is>
      </c>
      <c r="F7" s="13" t="inlineStr">
        <is>
          <t>HA vs CA CDI (subgroup).</t>
        </is>
      </c>
      <c r="G7" s="13" t="inlineStr">
        <is>
          <t>§19</t>
        </is>
      </c>
    </row>
    <row r="8">
      <c r="A8" s="13" t="inlineStr">
        <is>
          <t>Studies</t>
        </is>
      </c>
      <c r="B8" s="14" t="inlineStr">
        <is>
          <t>Age_group</t>
        </is>
      </c>
      <c r="C8" s="13" t="inlineStr">
        <is>
          <t>Population age</t>
        </is>
      </c>
      <c r="D8" s="13" t="inlineStr">
        <is>
          <t>list</t>
        </is>
      </c>
      <c r="E8" s="13" t="inlineStr">
        <is>
          <t>see Lookups:age_group</t>
        </is>
      </c>
      <c r="F8" s="13" t="inlineStr"/>
      <c r="G8" s="13" t="inlineStr"/>
    </row>
    <row r="9">
      <c r="A9" s="13" t="inlineStr">
        <is>
          <t>Studies</t>
        </is>
      </c>
      <c r="B9" s="14" t="inlineStr">
        <is>
          <t>N_total</t>
        </is>
      </c>
      <c r="C9" s="13" t="inlineStr">
        <is>
          <t>Total sample</t>
        </is>
      </c>
      <c r="D9" s="13" t="inlineStr">
        <is>
          <t>number</t>
        </is>
      </c>
      <c r="E9" s="13" t="inlineStr">
        <is>
          <t>persons</t>
        </is>
      </c>
      <c r="F9" s="13" t="inlineStr">
        <is>
          <t>Denominator / cohort or case+control total.</t>
        </is>
      </c>
      <c r="G9" s="13" t="inlineStr">
        <is>
          <t>§17</t>
        </is>
      </c>
    </row>
    <row r="10">
      <c r="A10" s="13" t="inlineStr">
        <is>
          <t>Studies</t>
        </is>
      </c>
      <c r="B10" s="14" t="inlineStr">
        <is>
          <t>N_CDI_cases</t>
        </is>
      </c>
      <c r="C10" s="13" t="inlineStr">
        <is>
          <t>CDI events</t>
        </is>
      </c>
      <c r="D10" s="13" t="inlineStr">
        <is>
          <t>number</t>
        </is>
      </c>
      <c r="E10" s="13" t="inlineStr">
        <is>
          <t>persons</t>
        </is>
      </c>
      <c r="F10" s="13" t="inlineStr">
        <is>
          <t>Incident CDI cases.</t>
        </is>
      </c>
      <c r="G10" s="13" t="inlineStr">
        <is>
          <t>§17</t>
        </is>
      </c>
    </row>
    <row r="11">
      <c r="A11" s="13" t="inlineStr">
        <is>
          <t>Studies</t>
        </is>
      </c>
      <c r="B11" s="14" t="inlineStr">
        <is>
          <t>CDI_case_definition</t>
        </is>
      </c>
      <c r="C11" s="13" t="inlineStr">
        <is>
          <t>CDI definition</t>
        </is>
      </c>
      <c r="D11" s="13" t="inlineStr">
        <is>
          <t>text</t>
        </is>
      </c>
      <c r="E11" s="13" t="inlineStr">
        <is>
          <t>free text</t>
        </is>
      </c>
      <c r="F11" s="13" t="inlineStr">
        <is>
          <t>Author definition (test + clinical).</t>
        </is>
      </c>
      <c r="G11" s="13" t="inlineStr">
        <is>
          <t>§13-O</t>
        </is>
      </c>
    </row>
    <row r="12">
      <c r="A12" s="13" t="inlineStr">
        <is>
          <t>Studies</t>
        </is>
      </c>
      <c r="B12" s="14" t="inlineStr">
        <is>
          <t>CDI_test_method</t>
        </is>
      </c>
      <c r="C12" s="13" t="inlineStr">
        <is>
          <t>Diagnostic method</t>
        </is>
      </c>
      <c r="D12" s="13" t="inlineStr">
        <is>
          <t>list</t>
        </is>
      </c>
      <c r="E12" s="13" t="inlineStr">
        <is>
          <t>see Lookups:test_method</t>
        </is>
      </c>
      <c r="F12" s="13" t="inlineStr"/>
      <c r="G12" s="13" t="inlineStr">
        <is>
          <t>§13-O</t>
        </is>
      </c>
    </row>
    <row r="13">
      <c r="A13" s="13" t="inlineStr">
        <is>
          <t>Studies</t>
        </is>
      </c>
      <c r="B13" s="14" t="inlineStr">
        <is>
          <t>Tetracycline_agents</t>
        </is>
      </c>
      <c r="C13" s="13" t="inlineStr">
        <is>
          <t>Tetracycline agent(s)</t>
        </is>
      </c>
      <c r="D13" s="13" t="inlineStr">
        <is>
          <t>text</t>
        </is>
      </c>
      <c r="E13" s="13" t="inlineStr">
        <is>
          <t>free text</t>
        </is>
      </c>
      <c r="F13" s="13" t="inlineStr">
        <is>
          <t>Agents examined &amp; route.</t>
        </is>
      </c>
      <c r="G13" s="13" t="inlineStr">
        <is>
          <t>§17</t>
        </is>
      </c>
    </row>
    <row r="14">
      <c r="A14" s="13" t="inlineStr">
        <is>
          <t>Studies</t>
        </is>
      </c>
      <c r="B14" s="14" t="inlineStr">
        <is>
          <t>Comparator_definition</t>
        </is>
      </c>
      <c r="C14" s="13" t="inlineStr">
        <is>
          <t>Comparator</t>
        </is>
      </c>
      <c r="D14" s="13" t="inlineStr">
        <is>
          <t>text</t>
        </is>
      </c>
      <c r="E14" s="13" t="inlineStr">
        <is>
          <t>free text</t>
        </is>
      </c>
      <c r="F14" s="13" t="inlineStr">
        <is>
          <t>What tetracycline is compared with.</t>
        </is>
      </c>
      <c r="G14" s="13" t="inlineStr">
        <is>
          <t>§13-C</t>
        </is>
      </c>
    </row>
    <row r="15">
      <c r="A15" s="13" t="inlineStr">
        <is>
          <t>Studies</t>
        </is>
      </c>
      <c r="B15" s="14" t="inlineStr">
        <is>
          <t>Analysis_method</t>
        </is>
      </c>
      <c r="C15" s="13" t="inlineStr">
        <is>
          <t>Analytic method</t>
        </is>
      </c>
      <c r="D15" s="13" t="inlineStr">
        <is>
          <t>text</t>
        </is>
      </c>
      <c r="E15" s="13" t="inlineStr">
        <is>
          <t>free text</t>
        </is>
      </c>
      <c r="F15" s="13" t="inlineStr">
        <is>
          <t>e.g., multivariable logistic, Cox, conditional logistic.</t>
        </is>
      </c>
      <c r="G15" s="13" t="inlineStr">
        <is>
          <t>§17</t>
        </is>
      </c>
    </row>
    <row r="16">
      <c r="A16" s="13" t="inlineStr">
        <is>
          <t>Studies</t>
        </is>
      </c>
      <c r="B16" s="14" t="inlineStr">
        <is>
          <t>Include_primary</t>
        </is>
      </c>
      <c r="C16" s="13" t="inlineStr">
        <is>
          <t>In primary analysis?</t>
        </is>
      </c>
      <c r="D16" s="13" t="inlineStr">
        <is>
          <t>list</t>
        </is>
      </c>
      <c r="E16" s="13" t="inlineStr">
        <is>
          <t>see Lookups:yesno</t>
        </is>
      </c>
      <c r="F16" s="13" t="inlineStr">
        <is>
          <t>No = record only (e.g., comparator is 'no antibiotic').</t>
        </is>
      </c>
      <c r="G16" s="13" t="inlineStr">
        <is>
          <t>§13-C</t>
        </is>
      </c>
    </row>
    <row r="17">
      <c r="A17" s="13" t="inlineStr">
        <is>
          <t>Studies</t>
        </is>
      </c>
      <c r="B17" s="14" t="inlineStr">
        <is>
          <t>Provenance</t>
        </is>
      </c>
      <c r="C17" s="13" t="inlineStr">
        <is>
          <t>Source of record</t>
        </is>
      </c>
      <c r="D17" s="13" t="inlineStr">
        <is>
          <t>list</t>
        </is>
      </c>
      <c r="E17" s="13" t="inlineStr">
        <is>
          <t>see Lookups:provenance</t>
        </is>
      </c>
      <c r="F17" s="13" t="inlineStr">
        <is>
          <t>Tariq carry-forward vs new include.</t>
        </is>
      </c>
      <c r="G17" s="13" t="inlineStr">
        <is>
          <t>§13</t>
        </is>
      </c>
    </row>
    <row r="18">
      <c r="A18" s="13" t="inlineStr">
        <is>
          <t>Estimates</t>
        </is>
      </c>
      <c r="B18" s="14" t="inlineStr">
        <is>
          <t>Estimate_ID</t>
        </is>
      </c>
      <c r="C18" s="13" t="inlineStr">
        <is>
          <t>Estimate identifier</t>
        </is>
      </c>
      <c r="D18" s="13" t="inlineStr">
        <is>
          <t>text</t>
        </is>
      </c>
      <c r="E18" s="13" t="inlineStr">
        <is>
          <t>E01, E02, …</t>
        </is>
      </c>
      <c r="F18" s="13" t="inlineStr">
        <is>
          <t>One row per reported estimate.</t>
        </is>
      </c>
      <c r="G18" s="13" t="inlineStr"/>
    </row>
    <row r="19">
      <c r="A19" s="13" t="inlineStr">
        <is>
          <t>Estimates</t>
        </is>
      </c>
      <c r="B19" s="14" t="inlineStr">
        <is>
          <t>Study_ID</t>
        </is>
      </c>
      <c r="C19" s="13" t="inlineStr">
        <is>
          <t>Parent study</t>
        </is>
      </c>
      <c r="D19" s="13" t="inlineStr">
        <is>
          <t>text</t>
        </is>
      </c>
      <c r="E19" s="13" t="inlineStr">
        <is>
          <t>S01…</t>
        </is>
      </c>
      <c r="F19" s="13" t="inlineStr">
        <is>
          <t>Foreign key to Studies.</t>
        </is>
      </c>
      <c r="G19" s="13" t="inlineStr"/>
    </row>
    <row r="20">
      <c r="A20" s="13" t="inlineStr">
        <is>
          <t>Estimates</t>
        </is>
      </c>
      <c r="B20" s="14" t="inlineStr">
        <is>
          <t>Exposure_item</t>
        </is>
      </c>
      <c r="C20" s="13" t="inlineStr">
        <is>
          <t>Exposure</t>
        </is>
      </c>
      <c r="D20" s="13" t="inlineStr">
        <is>
          <t>list</t>
        </is>
      </c>
      <c r="E20" s="13" t="inlineStr">
        <is>
          <t>see Lookups:exposure_item</t>
        </is>
      </c>
      <c r="F20" s="13" t="inlineStr">
        <is>
          <t>The drug/class this estimate is FOR (enables per-class matrix).</t>
        </is>
      </c>
      <c r="G20" s="13" t="inlineStr">
        <is>
          <t>§13-E</t>
        </is>
      </c>
    </row>
    <row r="21">
      <c r="A21" s="13" t="inlineStr">
        <is>
          <t>Estimates</t>
        </is>
      </c>
      <c r="B21" s="14" t="inlineStr">
        <is>
          <t>Exposure_grouping</t>
        </is>
      </c>
      <c r="C21" s="13" t="inlineStr">
        <is>
          <t>Exposure type</t>
        </is>
      </c>
      <c r="D21" s="13" t="inlineStr">
        <is>
          <t>list</t>
        </is>
      </c>
      <c r="E21" s="13" t="inlineStr">
        <is>
          <t>see Lookups:exposure_grouping</t>
        </is>
      </c>
      <c r="F21" s="13" t="inlineStr"/>
      <c r="G21" s="13" t="inlineStr"/>
    </row>
    <row r="22">
      <c r="A22" s="13" t="inlineStr">
        <is>
          <t>Estimates</t>
        </is>
      </c>
      <c r="B22" s="14" t="inlineStr">
        <is>
          <t>Comparator_type</t>
        </is>
      </c>
      <c r="C22" s="13" t="inlineStr">
        <is>
          <t>Comparator</t>
        </is>
      </c>
      <c r="D22" s="13" t="inlineStr">
        <is>
          <t>list</t>
        </is>
      </c>
      <c r="E22" s="13" t="inlineStr">
        <is>
          <t>see Lookups:comparator_type</t>
        </is>
      </c>
      <c r="F22" s="13" t="inlineStr">
        <is>
          <t>Primary = 'Other antibiotics (pooled)'.</t>
        </is>
      </c>
      <c r="G22" s="13" t="inlineStr">
        <is>
          <t>§13-C</t>
        </is>
      </c>
    </row>
    <row r="23">
      <c r="A23" s="13" t="inlineStr">
        <is>
          <t>Estimates</t>
        </is>
      </c>
      <c r="B23" s="14" t="inlineStr">
        <is>
          <t>Subgroup</t>
        </is>
      </c>
      <c r="C23" s="13" t="inlineStr">
        <is>
          <t>Subgroup/stratum</t>
        </is>
      </c>
      <c r="D23" s="13" t="inlineStr">
        <is>
          <t>list</t>
        </is>
      </c>
      <c r="E23" s="13" t="inlineStr">
        <is>
          <t>see Lookups:subgroup</t>
        </is>
      </c>
      <c r="F23" s="13" t="inlineStr">
        <is>
          <t>Doxycycline-only, HA/CA, etc.</t>
        </is>
      </c>
      <c r="G23" s="13" t="inlineStr">
        <is>
          <t>§19</t>
        </is>
      </c>
    </row>
    <row r="24">
      <c r="A24" s="13" t="inlineStr">
        <is>
          <t>Estimates</t>
        </is>
      </c>
      <c r="B24" s="14" t="inlineStr">
        <is>
          <t>Estimate_type</t>
        </is>
      </c>
      <c r="C24" s="13" t="inlineStr">
        <is>
          <t>Metric</t>
        </is>
      </c>
      <c r="D24" s="13" t="inlineStr">
        <is>
          <t>list</t>
        </is>
      </c>
      <c r="E24" s="13" t="inlineStr">
        <is>
          <t>see Lookups:estimate_type</t>
        </is>
      </c>
      <c r="F24" s="13" t="inlineStr">
        <is>
          <t>OR/RR/HR/IRR as reported.</t>
        </is>
      </c>
      <c r="G24" s="13" t="inlineStr">
        <is>
          <t>§17</t>
        </is>
      </c>
    </row>
    <row r="25">
      <c r="A25" s="13" t="inlineStr">
        <is>
          <t>Estimates</t>
        </is>
      </c>
      <c r="B25" s="14" t="inlineStr">
        <is>
          <t>Adjusted</t>
        </is>
      </c>
      <c r="C25" s="13" t="inlineStr">
        <is>
          <t>Adjustment</t>
        </is>
      </c>
      <c r="D25" s="13" t="inlineStr">
        <is>
          <t>list</t>
        </is>
      </c>
      <c r="E25" s="13" t="inlineStr">
        <is>
          <t>see Lookups:adjusted</t>
        </is>
      </c>
      <c r="F25" s="13" t="inlineStr">
        <is>
          <t>Adjusted preferred.</t>
        </is>
      </c>
      <c r="G25" s="13" t="inlineStr">
        <is>
          <t>§17</t>
        </is>
      </c>
    </row>
    <row r="26">
      <c r="A26" s="13" t="inlineStr">
        <is>
          <t>Estimates</t>
        </is>
      </c>
      <c r="B26" s="14" t="inlineStr">
        <is>
          <t>Point_estimate</t>
        </is>
      </c>
      <c r="C26" s="13" t="inlineStr">
        <is>
          <t>Point estimate</t>
        </is>
      </c>
      <c r="D26" s="13" t="inlineStr">
        <is>
          <t>number</t>
        </is>
      </c>
      <c r="E26" s="13" t="inlineStr">
        <is>
          <t>&gt;0</t>
        </is>
      </c>
      <c r="F26" s="13" t="inlineStr">
        <is>
          <t>As reported.</t>
        </is>
      </c>
      <c r="G26" s="13" t="inlineStr">
        <is>
          <t>§17</t>
        </is>
      </c>
    </row>
    <row r="27">
      <c r="A27" s="13" t="inlineStr">
        <is>
          <t>Estimates</t>
        </is>
      </c>
      <c r="B27" s="14" t="inlineStr">
        <is>
          <t>CI_lower / CI_upper</t>
        </is>
      </c>
      <c r="C27" s="13" t="inlineStr">
        <is>
          <t>95% CI</t>
        </is>
      </c>
      <c r="D27" s="13" t="inlineStr">
        <is>
          <t>number</t>
        </is>
      </c>
      <c r="E27" s="13" t="inlineStr">
        <is>
          <t>&gt;0</t>
        </is>
      </c>
      <c r="F27" s="13" t="inlineStr">
        <is>
          <t>Confidence limits.</t>
        </is>
      </c>
      <c r="G27" s="13" t="inlineStr">
        <is>
          <t>§17</t>
        </is>
      </c>
    </row>
    <row r="28">
      <c r="A28" s="13" t="inlineStr">
        <is>
          <t>Estimates</t>
        </is>
      </c>
      <c r="B28" s="14" t="inlineStr">
        <is>
          <t>CI_level</t>
        </is>
      </c>
      <c r="C28" s="13" t="inlineStr">
        <is>
          <t>CI level</t>
        </is>
      </c>
      <c r="D28" s="13" t="inlineStr">
        <is>
          <t>number</t>
        </is>
      </c>
      <c r="E28" s="13" t="inlineStr">
        <is>
          <t>90/95/99</t>
        </is>
      </c>
      <c r="F28" s="13" t="inlineStr">
        <is>
          <t>Default 95.</t>
        </is>
      </c>
      <c r="G28" s="13" t="inlineStr"/>
    </row>
    <row r="29">
      <c r="A29" s="13" t="inlineStr">
        <is>
          <t>Estimates</t>
        </is>
      </c>
      <c r="B29" s="14" t="inlineStr">
        <is>
          <t>a,b,c,d</t>
        </is>
      </c>
      <c r="C29" s="13" t="inlineStr">
        <is>
          <t>2x2 counts</t>
        </is>
      </c>
      <c r="D29" s="13" t="inlineStr">
        <is>
          <t>number</t>
        </is>
      </c>
      <c r="E29" s="13" t="inlineStr">
        <is>
          <t>persons</t>
        </is>
      </c>
      <c r="F29" s="13" t="inlineStr">
        <is>
          <t>a=exposed+CDI, b=exposed+noCDI, c=unexposed+CDI, d=unexposed+noCDI. Enter when only crude data given.</t>
        </is>
      </c>
      <c r="G29" s="13" t="inlineStr">
        <is>
          <t>§17</t>
        </is>
      </c>
    </row>
    <row r="30">
      <c r="A30" s="13" t="inlineStr">
        <is>
          <t>Estimates</t>
        </is>
      </c>
      <c r="B30" s="14" t="inlineStr">
        <is>
          <t>yi_logOR (auto)</t>
        </is>
      </c>
      <c r="C30" s="13" t="inlineStr">
        <is>
          <t>log effect</t>
        </is>
      </c>
      <c r="D30" s="13" t="inlineStr">
        <is>
          <t>formula</t>
        </is>
      </c>
      <c r="E30" s="13" t="inlineStr">
        <is>
          <t>—</t>
        </is>
      </c>
      <c r="F30" s="13" t="inlineStr">
        <is>
          <t>Auto: LN(point) or LN((a·d)/(b·c)). Feeds the model.</t>
        </is>
      </c>
      <c r="G30" s="13" t="inlineStr">
        <is>
          <t>§19</t>
        </is>
      </c>
    </row>
    <row r="31">
      <c r="A31" s="13" t="inlineStr">
        <is>
          <t>Estimates</t>
        </is>
      </c>
      <c r="B31" s="14" t="inlineStr">
        <is>
          <t>sei (auto)</t>
        </is>
      </c>
      <c r="C31" s="13" t="inlineStr">
        <is>
          <t>SE of log effect</t>
        </is>
      </c>
      <c r="D31" s="13" t="inlineStr">
        <is>
          <t>formula</t>
        </is>
      </c>
      <c r="E31" s="13" t="inlineStr">
        <is>
          <t>—</t>
        </is>
      </c>
      <c r="F31" s="13" t="inlineStr">
        <is>
          <t>Auto: (LN(CIu)−LN(CIl))/(2z) or sqrt(1/a+1/b+1/c+1/d).</t>
        </is>
      </c>
      <c r="G31" s="13" t="inlineStr">
        <is>
          <t>§19</t>
        </is>
      </c>
    </row>
    <row r="32">
      <c r="A32" s="13" t="inlineStr">
        <is>
          <t>Estimates</t>
        </is>
      </c>
      <c r="B32" s="14" t="inlineStr">
        <is>
          <t>Used_in_primary</t>
        </is>
      </c>
      <c r="C32" s="13" t="inlineStr">
        <is>
          <t>Primary flag</t>
        </is>
      </c>
      <c r="D32" s="13" t="inlineStr">
        <is>
          <t>list</t>
        </is>
      </c>
      <c r="E32" s="13" t="inlineStr">
        <is>
          <t>see Lookups:used_primary</t>
        </is>
      </c>
      <c r="F32" s="13" t="inlineStr">
        <is>
          <t>Exactly one Yes per study.</t>
        </is>
      </c>
      <c r="G32" s="13" t="inlineStr">
        <is>
          <t>§19</t>
        </is>
      </c>
    </row>
    <row r="33">
      <c r="A33" s="13" t="inlineStr">
        <is>
          <t>Estimates</t>
        </is>
      </c>
      <c r="B33" s="14" t="inlineStr">
        <is>
          <t>Scale_note</t>
        </is>
      </c>
      <c r="C33" s="13" t="inlineStr">
        <is>
          <t>Metric caveat</t>
        </is>
      </c>
      <c r="D33" s="13" t="inlineStr">
        <is>
          <t>text</t>
        </is>
      </c>
      <c r="E33" s="13" t="inlineStr">
        <is>
          <t>free text</t>
        </is>
      </c>
      <c r="F33" s="13" t="inlineStr">
        <is>
          <t>Flag HR/RR-as-OR, per-day HR, etc.</t>
        </is>
      </c>
      <c r="G33" s="13" t="inlineStr">
        <is>
          <t>§17</t>
        </is>
      </c>
    </row>
    <row r="34">
      <c r="A34" s="13" t="inlineStr">
        <is>
          <t>Estimates</t>
        </is>
      </c>
      <c r="B34" s="14" t="inlineStr">
        <is>
          <t>Verified</t>
        </is>
      </c>
      <c r="C34" s="13" t="inlineStr">
        <is>
          <t>Verification</t>
        </is>
      </c>
      <c r="D34" s="13" t="inlineStr">
        <is>
          <t>list</t>
        </is>
      </c>
      <c r="E34" s="13" t="inlineStr">
        <is>
          <t>see Lookups:verified</t>
        </is>
      </c>
      <c r="F34" s="13" t="inlineStr">
        <is>
          <t>Set to Verified after human check vs source.</t>
        </is>
      </c>
      <c r="G34" s="13" t="inlineStr">
        <is>
          <t>§16</t>
        </is>
      </c>
    </row>
    <row r="35">
      <c r="A35" s="13" t="inlineStr">
        <is>
          <t>Combination_therapy</t>
        </is>
      </c>
      <c r="B35" s="14" t="inlineStr">
        <is>
          <t>Combination_present</t>
        </is>
      </c>
      <c r="C35" s="13" t="inlineStr">
        <is>
          <t>Combo present?</t>
        </is>
      </c>
      <c r="D35" s="13" t="inlineStr">
        <is>
          <t>list</t>
        </is>
      </c>
      <c r="E35" s="13" t="inlineStr">
        <is>
          <t>see Lookups:yesno</t>
        </is>
      </c>
      <c r="F35" s="13" t="inlineStr">
        <is>
          <t>Tetracycline co-administered with another agent.</t>
        </is>
      </c>
      <c r="G35" s="13" t="inlineStr">
        <is>
          <t>user req.</t>
        </is>
      </c>
    </row>
    <row r="36">
      <c r="A36" s="13" t="inlineStr">
        <is>
          <t>Combination_therapy</t>
        </is>
      </c>
      <c r="B36" s="14" t="inlineStr">
        <is>
          <t>Co_administered_agents</t>
        </is>
      </c>
      <c r="C36" s="13" t="inlineStr">
        <is>
          <t>Partner agent(s)</t>
        </is>
      </c>
      <c r="D36" s="13" t="inlineStr">
        <is>
          <t>text</t>
        </is>
      </c>
      <c r="E36" s="13" t="inlineStr">
        <is>
          <t>free text</t>
        </is>
      </c>
      <c r="F36" s="13" t="inlineStr">
        <is>
          <t>e.g., doxycycline + ciprofloxacin.</t>
        </is>
      </c>
      <c r="G36" s="13" t="inlineStr"/>
    </row>
    <row r="37">
      <c r="A37" s="13" t="inlineStr">
        <is>
          <t>Combination_therapy</t>
        </is>
      </c>
      <c r="B37" s="14" t="inlineStr">
        <is>
          <t>Combo_context</t>
        </is>
      </c>
      <c r="C37" s="13" t="inlineStr">
        <is>
          <t>Context</t>
        </is>
      </c>
      <c r="D37" s="13" t="inlineStr">
        <is>
          <t>list</t>
        </is>
      </c>
      <c r="E37" s="13" t="inlineStr">
        <is>
          <t>see Lookups:combo_context</t>
        </is>
      </c>
      <c r="F37" s="13" t="inlineStr">
        <is>
          <t>Prophylaxis / treatment / co-exposure / trial arm.</t>
        </is>
      </c>
      <c r="G37" s="13" t="inlineStr"/>
    </row>
    <row r="38">
      <c r="A38" s="13" t="inlineStr">
        <is>
          <t>Combination_therapy</t>
        </is>
      </c>
      <c r="B38" s="14" t="inlineStr">
        <is>
          <t>Combo_* estimate</t>
        </is>
      </c>
      <c r="C38" s="13" t="inlineStr">
        <is>
          <t>Combo-specific CDI estimate</t>
        </is>
      </c>
      <c r="D38" s="13" t="inlineStr">
        <is>
          <t>number</t>
        </is>
      </c>
      <c r="E38" s="13" t="inlineStr">
        <is>
          <t>—</t>
        </is>
      </c>
      <c r="F38" s="13" t="inlineStr">
        <is>
          <t>If a combination-specific CDI estimate is reported.</t>
        </is>
      </c>
      <c r="G38" s="13" t="inlineStr"/>
    </row>
    <row r="39">
      <c r="A39" s="13" t="inlineStr">
        <is>
          <t>Covariate_matrix</t>
        </is>
      </c>
      <c r="B39" s="14" t="inlineStr">
        <is>
          <t>&lt;covariate&gt;</t>
        </is>
      </c>
      <c r="C39" s="13" t="inlineStr">
        <is>
          <t>Adjustment status</t>
        </is>
      </c>
      <c r="D39" s="13" t="inlineStr">
        <is>
          <t>list</t>
        </is>
      </c>
      <c r="E39" s="13" t="inlineStr">
        <is>
          <t>see Lookups:adj_status</t>
        </is>
      </c>
      <c r="F39" s="13" t="inlineStr">
        <is>
          <t>A/M/S/N/NR for each covariate — documents confounding control.</t>
        </is>
      </c>
      <c r="G39" s="13" t="inlineStr">
        <is>
          <t>§17,19</t>
        </is>
      </c>
    </row>
    <row r="40">
      <c r="A40" s="13" t="inlineStr">
        <is>
          <t>RoB_NOS</t>
        </is>
      </c>
      <c r="B40" s="14" t="inlineStr">
        <is>
          <t>S/C/O items</t>
        </is>
      </c>
      <c r="C40" s="13" t="inlineStr">
        <is>
          <t>Newcastle-Ottawa stars</t>
        </is>
      </c>
      <c r="D40" s="13" t="inlineStr">
        <is>
          <t>list</t>
        </is>
      </c>
      <c r="E40" s="13" t="inlineStr">
        <is>
          <t>star01 / star012</t>
        </is>
      </c>
      <c r="F40" s="13" t="inlineStr">
        <is>
          <t>Selection(4★), Comparability(2★), Outcome/Exposure(3★).</t>
        </is>
      </c>
      <c r="G40" s="13" t="inlineStr">
        <is>
          <t>§18</t>
        </is>
      </c>
    </row>
    <row r="41">
      <c r="A41" s="13" t="inlineStr">
        <is>
          <t>RoB2_RCT</t>
        </is>
      </c>
      <c r="B41" s="14" t="inlineStr">
        <is>
          <t>D1–D5, Overall</t>
        </is>
      </c>
      <c r="C41" s="13" t="inlineStr">
        <is>
          <t>Cochrane RoB2</t>
        </is>
      </c>
      <c r="D41" s="13" t="inlineStr">
        <is>
          <t>list</t>
        </is>
      </c>
      <c r="E41" s="13" t="inlineStr">
        <is>
          <t>see Lookups:rob2</t>
        </is>
      </c>
      <c r="F41" s="13" t="inlineStr">
        <is>
          <t>Randomized trials only.</t>
        </is>
      </c>
      <c r="G41" s="13" t="inlineStr">
        <is>
          <t>§18</t>
        </is>
      </c>
    </row>
    <row r="42">
      <c r="A42" s="13" t="inlineStr">
        <is>
          <t>Analysis_dataset</t>
        </is>
      </c>
      <c r="B42" s="14" t="inlineStr">
        <is>
          <t>yi, sei (auto)</t>
        </is>
      </c>
      <c r="C42" s="13" t="inlineStr">
        <is>
          <t>Model inputs</t>
        </is>
      </c>
      <c r="D42" s="13" t="inlineStr">
        <is>
          <t>formula</t>
        </is>
      </c>
      <c r="E42" s="13" t="inlineStr">
        <is>
          <t>—</t>
        </is>
      </c>
      <c r="F42" s="13" t="inlineStr">
        <is>
          <t>Auto-pulled from the Used_in_primary estimate.</t>
        </is>
      </c>
      <c r="G42" s="13" t="inlineStr">
        <is>
          <t>§19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34" customWidth="1" min="4" max="4"/>
    <col width="22" customWidth="1" min="5" max="5"/>
    <col width="22" customWidth="1" min="6" max="6"/>
    <col width="11" customWidth="1" min="7" max="7"/>
    <col width="16" customWidth="1" min="8" max="8"/>
    <col width="18" customWidth="1" min="9" max="9"/>
    <col width="20" customWidth="1" min="10" max="10"/>
    <col width="20" customWidth="1" min="11" max="11"/>
    <col width="12" customWidth="1" min="12" max="12"/>
    <col width="12" customWidth="1" min="13" max="13"/>
    <col width="10" customWidth="1" min="14" max="14"/>
    <col width="11" customWidth="1" min="15" max="15"/>
    <col width="16" customWidth="1" min="16" max="16"/>
    <col width="34" customWidth="1" min="17" max="17"/>
    <col width="34" customWidth="1" min="18" max="18"/>
    <col width="16" customWidth="1" min="19" max="19"/>
    <col width="24" customWidth="1" min="20" max="20"/>
    <col width="26" customWidth="1" min="21" max="21"/>
    <col width="24" customWidth="1" min="22" max="22"/>
    <col width="14" customWidth="1" min="23" max="23"/>
    <col width="22" customWidth="1" min="24" max="24"/>
    <col width="12" customWidth="1" min="25" max="25"/>
    <col width="14" customWidth="1" min="26" max="26"/>
    <col width="34" customWidth="1" min="27" max="27"/>
  </cols>
  <sheetData>
    <row r="1" ht="42" customHeight="1">
      <c r="A1" s="12" t="inlineStr">
        <is>
          <t>Study_ID</t>
        </is>
      </c>
      <c r="B1" s="12" t="inlineStr">
        <is>
          <t>First_author</t>
        </is>
      </c>
      <c r="C1" s="12" t="inlineStr">
        <is>
          <t>Year</t>
        </is>
      </c>
      <c r="D1" s="12" t="inlineStr">
        <is>
          <t>Title</t>
        </is>
      </c>
      <c r="E1" s="12" t="inlineStr">
        <is>
          <t>Journal</t>
        </is>
      </c>
      <c r="F1" s="12" t="inlineStr">
        <is>
          <t>DOI</t>
        </is>
      </c>
      <c r="G1" s="12" t="inlineStr">
        <is>
          <t>PMID</t>
        </is>
      </c>
      <c r="H1" s="12" t="inlineStr">
        <is>
          <t>Country</t>
        </is>
      </c>
      <c r="I1" s="12" t="inlineStr">
        <is>
          <t>Setting</t>
        </is>
      </c>
      <c r="J1" s="12" t="inlineStr">
        <is>
          <t>Care_context</t>
        </is>
      </c>
      <c r="K1" s="12" t="inlineStr">
        <is>
          <t>Design</t>
        </is>
      </c>
      <c r="L1" s="12" t="inlineStr">
        <is>
          <t>Recruit_start</t>
        </is>
      </c>
      <c r="M1" s="12" t="inlineStr">
        <is>
          <t>Recruit_end</t>
        </is>
      </c>
      <c r="N1" s="12" t="inlineStr">
        <is>
          <t>N_total</t>
        </is>
      </c>
      <c r="O1" s="12" t="inlineStr">
        <is>
          <t>N_CDI_cases</t>
        </is>
      </c>
      <c r="P1" s="12" t="inlineStr">
        <is>
          <t>Age_group</t>
        </is>
      </c>
      <c r="Q1" s="12" t="inlineStr">
        <is>
          <t>Population_description</t>
        </is>
      </c>
      <c r="R1" s="12" t="inlineStr">
        <is>
          <t>CDI_case_definition</t>
        </is>
      </c>
      <c r="S1" s="12" t="inlineStr">
        <is>
          <t>CDI_test_method</t>
        </is>
      </c>
      <c r="T1" s="12" t="inlineStr">
        <is>
          <t>Tetracycline_agents</t>
        </is>
      </c>
      <c r="U1" s="12" t="inlineStr">
        <is>
          <t>Comparator_definition</t>
        </is>
      </c>
      <c r="V1" s="12" t="inlineStr">
        <is>
          <t>Analysis_method</t>
        </is>
      </c>
      <c r="W1" s="12" t="inlineStr">
        <is>
          <t>Include_primary</t>
        </is>
      </c>
      <c r="X1" s="12" t="inlineStr">
        <is>
          <t>Provenance</t>
        </is>
      </c>
      <c r="Y1" s="12" t="inlineStr">
        <is>
          <t>Extractor</t>
        </is>
      </c>
      <c r="Z1" s="12" t="inlineStr">
        <is>
          <t>Extraction_date</t>
        </is>
      </c>
      <c r="AA1" s="12" t="inlineStr">
        <is>
          <t>Notes</t>
        </is>
      </c>
    </row>
    <row r="2">
      <c r="A2" s="15" t="inlineStr">
        <is>
          <t>EX-01</t>
        </is>
      </c>
      <c r="B2" s="15" t="inlineStr">
        <is>
          <t>Example</t>
        </is>
      </c>
      <c r="C2" s="15" t="n">
        <v>2020</v>
      </c>
      <c r="D2" s="15" t="inlineStr">
        <is>
          <t>EXAMPLE — delete this row before use</t>
        </is>
      </c>
      <c r="E2" s="15" t="inlineStr">
        <is>
          <t>J Example</t>
        </is>
      </c>
      <c r="F2" s="15" t="inlineStr">
        <is>
          <t>10.xxxx/ex</t>
        </is>
      </c>
      <c r="G2" s="15" t="inlineStr">
        <is>
          <t>00000000</t>
        </is>
      </c>
      <c r="H2" s="15" t="inlineStr">
        <is>
          <t>Country</t>
        </is>
      </c>
      <c r="I2" s="15" t="inlineStr">
        <is>
          <t>Hospital/acute care</t>
        </is>
      </c>
      <c r="J2" s="15" t="inlineStr">
        <is>
          <t>HA-CDI (healthcare-associated)</t>
        </is>
      </c>
      <c r="K2" s="15" t="inlineStr">
        <is>
          <t>Case-control</t>
        </is>
      </c>
      <c r="L2" s="15" t="inlineStr">
        <is>
          <t>2015</t>
        </is>
      </c>
      <c r="M2" s="15" t="inlineStr">
        <is>
          <t>2018</t>
        </is>
      </c>
      <c r="N2" s="15" t="n">
        <v>1000</v>
      </c>
      <c r="O2" s="15" t="n">
        <v>120</v>
      </c>
      <c r="P2" s="15" t="inlineStr">
        <is>
          <t>Adults (&gt;=18)</t>
        </is>
      </c>
      <c r="Q2" s="15" t="inlineStr">
        <is>
          <t>Example population description</t>
        </is>
      </c>
      <c r="R2" s="15" t="inlineStr">
        <is>
          <t>Positive NAAT + diarrhea</t>
        </is>
      </c>
      <c r="S2" s="15" t="inlineStr">
        <is>
          <t>NAAT/PCR</t>
        </is>
      </c>
      <c r="T2" s="15" t="inlineStr">
        <is>
          <t>Doxycycline</t>
        </is>
      </c>
      <c r="U2" s="15" t="inlineStr">
        <is>
          <t>Other antibiotics</t>
        </is>
      </c>
      <c r="V2" s="15" t="inlineStr">
        <is>
          <t>Multivariable logistic</t>
        </is>
      </c>
      <c r="W2" s="15" t="inlineStr">
        <is>
          <t>Yes</t>
        </is>
      </c>
      <c r="X2" s="15" t="inlineStr">
        <is>
          <t>other</t>
        </is>
      </c>
      <c r="Y2" s="15" t="inlineStr">
        <is>
          <t>AB</t>
        </is>
      </c>
      <c r="Z2" s="15" t="inlineStr">
        <is>
          <t>2026-08-01</t>
        </is>
      </c>
      <c r="AA2" s="15" t="inlineStr">
        <is>
          <t>Example row showing expected format.</t>
        </is>
      </c>
    </row>
    <row r="3">
      <c r="A3" s="16" t="inlineStr">
        <is>
          <t>S01</t>
        </is>
      </c>
      <c r="B3" s="16" t="inlineStr">
        <is>
          <t>Adams</t>
        </is>
      </c>
      <c r="C3" s="16" t="n">
        <v>2017</v>
      </c>
      <c r="D3" s="16" t="inlineStr">
        <is>
          <t>Risk Factors for Community-Associated C. difficile Infection in Children</t>
        </is>
      </c>
      <c r="E3" s="16" t="inlineStr"/>
      <c r="F3" s="16" t="inlineStr"/>
      <c r="G3" s="16" t="inlineStr"/>
      <c r="H3" s="16" t="inlineStr"/>
      <c r="I3" s="16" t="inlineStr">
        <is>
          <t>Community</t>
        </is>
      </c>
      <c r="J3" s="16" t="inlineStr">
        <is>
          <t>CA-CDI (community-associated)</t>
        </is>
      </c>
      <c r="K3" s="16" t="inlineStr">
        <is>
          <t>Case-control</t>
        </is>
      </c>
      <c r="L3" s="16" t="inlineStr"/>
      <c r="M3" s="16" t="inlineStr"/>
      <c r="N3" s="16" t="n">
        <v>3993</v>
      </c>
      <c r="O3" s="16" t="inlineStr"/>
      <c r="P3" s="16" t="inlineStr"/>
      <c r="Q3" s="16" t="inlineStr"/>
      <c r="R3" s="16" t="inlineStr"/>
      <c r="S3" s="16" t="inlineStr"/>
      <c r="T3" s="16" t="inlineStr">
        <is>
          <t>Tetracyclines</t>
        </is>
      </c>
      <c r="U3" s="16" t="inlineStr">
        <is>
          <t>Other antibiotics</t>
        </is>
      </c>
      <c r="V3" s="16" t="inlineStr"/>
      <c r="W3" s="16" t="inlineStr">
        <is>
          <t>Yes</t>
        </is>
      </c>
      <c r="X3" s="16" t="inlineStr">
        <is>
          <t>other</t>
        </is>
      </c>
      <c r="Y3" s="16" t="inlineStr"/>
      <c r="Z3" s="16" t="inlineStr"/>
      <c r="AA3" s="16" t="inlineStr">
        <is>
          <t>Pediatric CA-CDI.</t>
        </is>
      </c>
    </row>
    <row r="4">
      <c r="A4" s="16" t="inlineStr">
        <is>
          <t>S02</t>
        </is>
      </c>
      <c r="B4" s="16" t="inlineStr">
        <is>
          <t>Bartoletti</t>
        </is>
      </c>
      <c r="C4" s="16" t="n">
        <v>2018</v>
      </c>
      <c r="D4" s="16" t="inlineStr">
        <is>
          <t>Differences in rate of CRE colonisation or CDI: tigecycline- vs meropenem-based regimen</t>
        </is>
      </c>
      <c r="E4" s="16" t="inlineStr"/>
      <c r="F4" s="16" t="inlineStr"/>
      <c r="G4" s="16" t="inlineStr"/>
      <c r="H4" s="16" t="inlineStr"/>
      <c r="I4" s="16" t="inlineStr">
        <is>
          <t>Hospital/acute care</t>
        </is>
      </c>
      <c r="J4" s="16" t="inlineStr">
        <is>
          <t>HA-CDI (healthcare-associated)</t>
        </is>
      </c>
      <c r="K4" s="16" t="inlineStr">
        <is>
          <t>Matched case-control</t>
        </is>
      </c>
      <c r="L4" s="16" t="inlineStr"/>
      <c r="M4" s="16" t="inlineStr"/>
      <c r="N4" s="16" t="n">
        <v>336</v>
      </c>
      <c r="O4" s="16" t="inlineStr"/>
      <c r="P4" s="16" t="inlineStr"/>
      <c r="Q4" s="16" t="inlineStr"/>
      <c r="R4" s="16" t="inlineStr"/>
      <c r="S4" s="16" t="inlineStr"/>
      <c r="T4" s="16" t="inlineStr">
        <is>
          <t>Tigecycline</t>
        </is>
      </c>
      <c r="U4" s="16" t="inlineStr">
        <is>
          <t>Meropenem-based regimen</t>
        </is>
      </c>
      <c r="V4" s="16" t="inlineStr"/>
      <c r="W4" s="16" t="inlineStr">
        <is>
          <t>Unclear</t>
        </is>
      </c>
      <c r="X4" s="16" t="inlineStr">
        <is>
          <t>other</t>
        </is>
      </c>
      <c r="Y4" s="16" t="inlineStr"/>
      <c r="Z4" s="16" t="inlineStr"/>
      <c r="AA4" s="16" t="inlineStr">
        <is>
          <t>Outcome is COMPOSITE (CRE colonisation OR CDI); not CDI-specific.</t>
        </is>
      </c>
    </row>
    <row r="5">
      <c r="A5" s="16" t="inlineStr">
        <is>
          <t>S03</t>
        </is>
      </c>
      <c r="B5" s="16" t="inlineStr">
        <is>
          <t>Baxter</t>
        </is>
      </c>
      <c r="C5" s="16" t="n">
        <v>2008</v>
      </c>
      <c r="D5" s="16" t="inlineStr">
        <is>
          <t>Case-Control Study of Antibiotic Use and Subsequent CDAD</t>
        </is>
      </c>
      <c r="E5" s="16" t="inlineStr"/>
      <c r="F5" s="16" t="inlineStr"/>
      <c r="G5" s="16" t="inlineStr"/>
      <c r="H5" s="16" t="inlineStr"/>
      <c r="I5" s="16" t="inlineStr">
        <is>
          <t>Hospital/acute care</t>
        </is>
      </c>
      <c r="J5" s="16" t="inlineStr">
        <is>
          <t>HA-CDI (healthcare-associated)</t>
        </is>
      </c>
      <c r="K5" s="16" t="inlineStr">
        <is>
          <t>Case-control</t>
        </is>
      </c>
      <c r="L5" s="16" t="inlineStr"/>
      <c r="M5" s="16" t="inlineStr"/>
      <c r="N5" s="16" t="n">
        <v>2355</v>
      </c>
      <c r="O5" s="16" t="inlineStr"/>
      <c r="P5" s="16" t="inlineStr"/>
      <c r="Q5" s="16" t="inlineStr"/>
      <c r="R5" s="16" t="inlineStr"/>
      <c r="S5" s="16" t="inlineStr"/>
      <c r="T5" s="16" t="inlineStr">
        <is>
          <t>Doxycycline</t>
        </is>
      </c>
      <c r="U5" s="16" t="inlineStr">
        <is>
          <t>Other antibiotics</t>
        </is>
      </c>
      <c r="V5" s="16" t="inlineStr"/>
      <c r="W5" s="16" t="inlineStr">
        <is>
          <t>Yes</t>
        </is>
      </c>
      <c r="X5" s="16" t="inlineStr">
        <is>
          <t>other</t>
        </is>
      </c>
      <c r="Y5" s="16" t="inlineStr"/>
      <c r="Z5" s="16" t="inlineStr"/>
      <c r="AA5" s="16" t="inlineStr">
        <is>
          <t>Doxycycline protective; metronidazole also 0.67.</t>
        </is>
      </c>
    </row>
    <row r="6">
      <c r="A6" s="16" t="inlineStr">
        <is>
          <t>S04</t>
        </is>
      </c>
      <c r="B6" s="16" t="inlineStr">
        <is>
          <t>Bejcek</t>
        </is>
      </c>
      <c r="C6" s="16" t="n">
        <v>2024</v>
      </c>
      <c r="D6" s="16" t="inlineStr">
        <is>
          <t>Antibiotic use and risk of CDI in patients with IBD</t>
        </is>
      </c>
      <c r="E6" s="16" t="inlineStr"/>
      <c r="F6" s="16" t="inlineStr"/>
      <c r="G6" s="16" t="inlineStr"/>
      <c r="H6" s="16" t="inlineStr"/>
      <c r="I6" s="16" t="inlineStr">
        <is>
          <t>Hospital/acute care</t>
        </is>
      </c>
      <c r="J6" s="16" t="inlineStr">
        <is>
          <t>HA-CDI (healthcare-associated)</t>
        </is>
      </c>
      <c r="K6" s="16" t="inlineStr">
        <is>
          <t>Retrospective cohort</t>
        </is>
      </c>
      <c r="L6" s="16" t="inlineStr"/>
      <c r="M6" s="16" t="inlineStr"/>
      <c r="N6" s="16" t="n">
        <v>24832</v>
      </c>
      <c r="O6" s="16" t="inlineStr"/>
      <c r="P6" s="16" t="inlineStr"/>
      <c r="Q6" s="16" t="inlineStr"/>
      <c r="R6" s="16" t="inlineStr"/>
      <c r="S6" s="16" t="inlineStr"/>
      <c r="T6" s="16" t="inlineStr">
        <is>
          <t>Tetracyclines</t>
        </is>
      </c>
      <c r="U6" s="16" t="inlineStr">
        <is>
          <t>Other antibiotics</t>
        </is>
      </c>
      <c r="V6" s="16" t="inlineStr"/>
      <c r="W6" s="16" t="inlineStr">
        <is>
          <t>Unclear</t>
        </is>
      </c>
      <c r="X6" s="16" t="inlineStr">
        <is>
          <t>other</t>
        </is>
      </c>
      <c r="Y6" s="16" t="inlineStr"/>
      <c r="Z6" s="16" t="inlineStr"/>
      <c r="AA6" s="16" t="inlineStr">
        <is>
          <t>IBD subpopulation; matched; exact OR not auto-extracted (p=0.010).</t>
        </is>
      </c>
    </row>
    <row r="7">
      <c r="A7" s="16" t="inlineStr">
        <is>
          <t>S05</t>
        </is>
      </c>
      <c r="B7" s="16" t="inlineStr">
        <is>
          <t>Bernatz</t>
        </is>
      </c>
      <c r="C7" s="16" t="n">
        <v>2017</v>
      </c>
      <c r="D7" s="16" t="inlineStr">
        <is>
          <t>Antibiotic Overuse is a Major Risk Factor for CDI in Surgical Patients</t>
        </is>
      </c>
      <c r="E7" s="16" t="inlineStr"/>
      <c r="F7" s="16" t="inlineStr"/>
      <c r="G7" s="16" t="inlineStr"/>
      <c r="H7" s="16" t="inlineStr"/>
      <c r="I7" s="16" t="inlineStr">
        <is>
          <t>Hospital/acute care</t>
        </is>
      </c>
      <c r="J7" s="16" t="inlineStr">
        <is>
          <t>HA-CDI (healthcare-associated)</t>
        </is>
      </c>
      <c r="K7" s="16" t="inlineStr">
        <is>
          <t>?</t>
        </is>
      </c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>
        <is>
          <t>(none)</t>
        </is>
      </c>
      <c r="U7" s="16" t="inlineStr"/>
      <c r="V7" s="16" t="inlineStr"/>
      <c r="W7" s="16" t="inlineStr">
        <is>
          <t>No</t>
        </is>
      </c>
      <c r="X7" s="16" t="inlineStr">
        <is>
          <t>other</t>
        </is>
      </c>
      <c r="Y7" s="16" t="inlineStr"/>
      <c r="Z7" s="16" t="inlineStr"/>
      <c r="AA7" s="16" t="inlineStr">
        <is>
          <t>No tetracycline-specific estimate detected.</t>
        </is>
      </c>
    </row>
    <row r="8">
      <c r="A8" s="16" t="inlineStr">
        <is>
          <t>S06</t>
        </is>
      </c>
      <c r="B8" s="16" t="inlineStr">
        <is>
          <t>Boven</t>
        </is>
      </c>
      <c r="C8" s="16" t="n">
        <v>2026</v>
      </c>
      <c r="D8" s="16" t="inlineStr">
        <is>
          <t>Commonly prescribed drugs as risk factors for CDI: a Swedish population study</t>
        </is>
      </c>
      <c r="E8" s="16" t="inlineStr"/>
      <c r="F8" s="16" t="inlineStr"/>
      <c r="G8" s="16" t="inlineStr"/>
      <c r="H8" s="16" t="inlineStr"/>
      <c r="I8" s="16" t="inlineStr">
        <is>
          <t>Mixed</t>
        </is>
      </c>
      <c r="J8" s="16" t="inlineStr">
        <is>
          <t>Mixed/Both</t>
        </is>
      </c>
      <c r="K8" s="16" t="inlineStr">
        <is>
          <t>Case-control</t>
        </is>
      </c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>
        <is>
          <t>Tetracyclines</t>
        </is>
      </c>
      <c r="U8" s="16" t="inlineStr">
        <is>
          <t>Other antibiotics / non-users</t>
        </is>
      </c>
      <c r="V8" s="16" t="inlineStr"/>
      <c r="W8" s="16" t="inlineStr">
        <is>
          <t>Yes</t>
        </is>
      </c>
      <c r="X8" s="16" t="inlineStr">
        <is>
          <t>other</t>
        </is>
      </c>
      <c r="Y8" s="16" t="inlineStr"/>
      <c r="Z8" s="16" t="inlineStr"/>
      <c r="AA8" s="16" t="inlineStr">
        <is>
          <t>Population-based; crude 2.03, adjusted models reported.</t>
        </is>
      </c>
    </row>
    <row r="9">
      <c r="A9" s="16" t="inlineStr">
        <is>
          <t>S07</t>
        </is>
      </c>
      <c r="B9" s="16" t="inlineStr">
        <is>
          <t>Brown</t>
        </is>
      </c>
      <c r="C9" s="16" t="n">
        <v>2015</v>
      </c>
      <c r="D9" s="16" t="inlineStr">
        <is>
          <t>Hospital ward antibiotic prescribing and the risks of CDI</t>
        </is>
      </c>
      <c r="E9" s="16" t="inlineStr"/>
      <c r="F9" s="16" t="inlineStr"/>
      <c r="G9" s="16" t="inlineStr"/>
      <c r="H9" s="16" t="inlineStr"/>
      <c r="I9" s="16" t="inlineStr">
        <is>
          <t>Hospital/acute care</t>
        </is>
      </c>
      <c r="J9" s="16" t="inlineStr">
        <is>
          <t>HA-CDI (healthcare-associated)</t>
        </is>
      </c>
      <c r="K9" s="16" t="inlineStr">
        <is>
          <t>Retrospective cohort</t>
        </is>
      </c>
      <c r="L9" s="16" t="inlineStr"/>
      <c r="M9" s="16" t="inlineStr"/>
      <c r="N9" s="16" t="n">
        <v>255</v>
      </c>
      <c r="O9" s="16" t="inlineStr"/>
      <c r="P9" s="16" t="inlineStr"/>
      <c r="Q9" s="16" t="inlineStr"/>
      <c r="R9" s="16" t="inlineStr"/>
      <c r="S9" s="16" t="inlineStr"/>
      <c r="T9" s="16" t="inlineStr">
        <is>
          <t>(ward-level)</t>
        </is>
      </c>
      <c r="U9" s="16" t="inlineStr"/>
      <c r="V9" s="16" t="inlineStr"/>
      <c r="W9" s="16" t="inlineStr">
        <is>
          <t>No</t>
        </is>
      </c>
      <c r="X9" s="16" t="inlineStr">
        <is>
          <t>other</t>
        </is>
      </c>
      <c r="Y9" s="16" t="inlineStr"/>
      <c r="Z9" s="16" t="inlineStr"/>
      <c r="AA9" s="16" t="inlineStr">
        <is>
          <t>Ward-level prescribing; no individual tetracycline estimate.</t>
        </is>
      </c>
    </row>
    <row r="10">
      <c r="A10" s="16" t="inlineStr">
        <is>
          <t>S08</t>
        </is>
      </c>
      <c r="B10" s="16" t="inlineStr">
        <is>
          <t>Brown</t>
        </is>
      </c>
      <c r="C10" s="16" t="n">
        <v>2016</v>
      </c>
      <c r="D10" s="16" t="inlineStr">
        <is>
          <t>Importation, Antibiotics, and CDI in Veteran Long-Term Care</t>
        </is>
      </c>
      <c r="E10" s="16" t="inlineStr"/>
      <c r="F10" s="16" t="inlineStr"/>
      <c r="G10" s="16" t="inlineStr"/>
      <c r="H10" s="16" t="inlineStr"/>
      <c r="I10" s="16" t="inlineStr">
        <is>
          <t>Hospital/acute care</t>
        </is>
      </c>
      <c r="J10" s="16" t="inlineStr">
        <is>
          <t>HA-CDI (healthcare-associated)</t>
        </is>
      </c>
      <c r="K10" s="16" t="inlineStr">
        <is>
          <t>Retrospective cohort</t>
        </is>
      </c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>
        <is>
          <t>(none)</t>
        </is>
      </c>
      <c r="U10" s="16" t="inlineStr"/>
      <c r="V10" s="16" t="inlineStr"/>
      <c r="W10" s="16" t="inlineStr">
        <is>
          <t>No</t>
        </is>
      </c>
      <c r="X10" s="16" t="inlineStr">
        <is>
          <t>other</t>
        </is>
      </c>
      <c r="Y10" s="16" t="inlineStr"/>
      <c r="Z10" s="16" t="inlineStr"/>
      <c r="AA10" s="16" t="inlineStr">
        <is>
          <t>No tetracycline mention detected.</t>
        </is>
      </c>
    </row>
    <row r="11">
      <c r="A11" s="16" t="inlineStr">
        <is>
          <t>S09</t>
        </is>
      </c>
      <c r="B11" s="16" t="inlineStr">
        <is>
          <t>Brown</t>
        </is>
      </c>
      <c r="C11" s="16" t="n">
        <v>2020</v>
      </c>
      <c r="D11" s="16" t="inlineStr">
        <is>
          <t>Antibiotic prescribing choices and their comparative CDI risks</t>
        </is>
      </c>
      <c r="E11" s="16" t="inlineStr"/>
      <c r="F11" s="16" t="inlineStr"/>
      <c r="G11" s="16" t="inlineStr"/>
      <c r="H11" s="16" t="inlineStr"/>
      <c r="I11" s="16" t="inlineStr">
        <is>
          <t>Hospital/acute care</t>
        </is>
      </c>
      <c r="J11" s="16" t="inlineStr">
        <is>
          <t>Mixed/Both</t>
        </is>
      </c>
      <c r="K11" s="16" t="inlineStr">
        <is>
          <t>Retrospective cohort</t>
        </is>
      </c>
      <c r="L11" s="16" t="inlineStr"/>
      <c r="M11" s="16" t="inlineStr"/>
      <c r="N11" s="16" t="n">
        <v>181</v>
      </c>
      <c r="O11" s="16" t="inlineStr"/>
      <c r="P11" s="16" t="inlineStr"/>
      <c r="Q11" s="16" t="inlineStr"/>
      <c r="R11" s="16" t="inlineStr"/>
      <c r="S11" s="16" t="inlineStr"/>
      <c r="T11" s="16" t="inlineStr">
        <is>
          <t>Tetracycline</t>
        </is>
      </c>
      <c r="U11" s="16" t="inlineStr">
        <is>
          <t>Other antibiotics</t>
        </is>
      </c>
      <c r="V11" s="16" t="inlineStr"/>
      <c r="W11" s="16" t="inlineStr">
        <is>
          <t>Yes</t>
        </is>
      </c>
      <c r="X11" s="16" t="inlineStr">
        <is>
          <t>other</t>
        </is>
      </c>
      <c r="Y11" s="16" t="inlineStr"/>
      <c r="Z11" s="16" t="inlineStr"/>
      <c r="AA11" s="16" t="inlineStr">
        <is>
          <t>Comparative CDI risk ratios.</t>
        </is>
      </c>
    </row>
    <row r="12">
      <c r="A12" s="16" t="inlineStr">
        <is>
          <t>S10</t>
        </is>
      </c>
      <c r="B12" s="16" t="inlineStr">
        <is>
          <t>Brown</t>
        </is>
      </c>
      <c r="C12" s="16" t="n">
        <v>2026</v>
      </c>
      <c r="D12" s="16" t="inlineStr">
        <is>
          <t>Antibiotic and Nonantibiotic Drugs Associated With CDI Risk (PheWAS)</t>
        </is>
      </c>
      <c r="E12" s="16" t="inlineStr"/>
      <c r="F12" s="16" t="inlineStr"/>
      <c r="G12" s="16" t="inlineStr"/>
      <c r="H12" s="16" t="inlineStr"/>
      <c r="I12" s="16" t="inlineStr">
        <is>
          <t>Hospital/acute care</t>
        </is>
      </c>
      <c r="J12" s="16" t="inlineStr">
        <is>
          <t>Mixed/Both</t>
        </is>
      </c>
      <c r="K12" s="16" t="inlineStr">
        <is>
          <t>Retrospective cohort</t>
        </is>
      </c>
      <c r="L12" s="16" t="inlineStr"/>
      <c r="M12" s="16" t="inlineStr"/>
      <c r="N12" s="16" t="n">
        <v>549</v>
      </c>
      <c r="O12" s="16" t="inlineStr"/>
      <c r="P12" s="16" t="inlineStr"/>
      <c r="Q12" s="16" t="inlineStr"/>
      <c r="R12" s="16" t="inlineStr"/>
      <c r="S12" s="16" t="inlineStr"/>
      <c r="T12" s="16" t="inlineStr">
        <is>
          <t>(none)</t>
        </is>
      </c>
      <c r="U12" s="16" t="inlineStr"/>
      <c r="V12" s="16" t="inlineStr"/>
      <c r="W12" s="16" t="inlineStr">
        <is>
          <t>No</t>
        </is>
      </c>
      <c r="X12" s="16" t="inlineStr">
        <is>
          <t>other</t>
        </is>
      </c>
      <c r="Y12" s="16" t="inlineStr"/>
      <c r="Z12" s="16" t="inlineStr"/>
      <c r="AA12" s="16" t="inlineStr">
        <is>
          <t>No tetracycline mention detected.</t>
        </is>
      </c>
    </row>
    <row r="13">
      <c r="A13" s="16" t="inlineStr">
        <is>
          <t>S11</t>
        </is>
      </c>
      <c r="B13" s="16" t="inlineStr">
        <is>
          <t>Carmichael</t>
        </is>
      </c>
      <c r="C13" s="16" t="n">
        <v>2023</v>
      </c>
      <c r="D13" s="16" t="inlineStr">
        <is>
          <t>C. difficile and other adverse events from overprescribed antibiotics (aURI)</t>
        </is>
      </c>
      <c r="E13" s="16" t="inlineStr">
        <is>
          <t>J Intern Med</t>
        </is>
      </c>
      <c r="F13" s="16" t="inlineStr"/>
      <c r="G13" s="16" t="inlineStr"/>
      <c r="H13" s="16" t="inlineStr"/>
      <c r="I13" s="16" t="inlineStr">
        <is>
          <t>Community</t>
        </is>
      </c>
      <c r="J13" s="16" t="inlineStr">
        <is>
          <t>Mixed/Both</t>
        </is>
      </c>
      <c r="K13" s="16" t="inlineStr">
        <is>
          <t>Retrospective cohort</t>
        </is>
      </c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>
        <is>
          <t>Doxycycline</t>
        </is>
      </c>
      <c r="U13" s="16" t="inlineStr">
        <is>
          <t>Other antibiotics</t>
        </is>
      </c>
      <c r="V13" s="16" t="inlineStr"/>
      <c r="W13" s="16" t="inlineStr">
        <is>
          <t>Yes</t>
        </is>
      </c>
      <c r="X13" s="16" t="inlineStr">
        <is>
          <t>other</t>
        </is>
      </c>
      <c r="Y13" s="16" t="inlineStr"/>
      <c r="Z13" s="16" t="inlineStr"/>
      <c r="AA13" s="16" t="inlineStr">
        <is>
          <t>Doxycycline aOR 0.94 (~0.89-0.99) from full-text (protective).</t>
        </is>
      </c>
    </row>
    <row r="14">
      <c r="A14" s="16" t="inlineStr">
        <is>
          <t>S12</t>
        </is>
      </c>
      <c r="B14" s="16" t="inlineStr">
        <is>
          <t>Cazali</t>
        </is>
      </c>
      <c r="C14" s="16" t="n">
        <v>2018</v>
      </c>
      <c r="D14" s="16" t="inlineStr">
        <is>
          <t>486. Endemic Corridors: a tool for C. difficile (conf abstract)</t>
        </is>
      </c>
      <c r="E14" s="16" t="inlineStr"/>
      <c r="F14" s="16" t="inlineStr"/>
      <c r="G14" s="16" t="inlineStr"/>
      <c r="H14" s="16" t="inlineStr"/>
      <c r="I14" s="16" t="inlineStr">
        <is>
          <t>Hospital/acute care</t>
        </is>
      </c>
      <c r="J14" s="16" t="inlineStr">
        <is>
          <t>HA-CDI (healthcare-associated)</t>
        </is>
      </c>
      <c r="K14" s="16" t="inlineStr">
        <is>
          <t>Cross-sectional</t>
        </is>
      </c>
      <c r="L14" s="16" t="inlineStr"/>
      <c r="M14" s="16" t="inlineStr"/>
      <c r="N14" s="16" t="n">
        <v>2823</v>
      </c>
      <c r="O14" s="16" t="inlineStr"/>
      <c r="P14" s="16" t="inlineStr"/>
      <c r="Q14" s="16" t="inlineStr"/>
      <c r="R14" s="16" t="inlineStr"/>
      <c r="S14" s="16" t="inlineStr"/>
      <c r="T14" s="16" t="inlineStr">
        <is>
          <t>(none)</t>
        </is>
      </c>
      <c r="U14" s="16" t="inlineStr"/>
      <c r="V14" s="16" t="inlineStr"/>
      <c r="W14" s="16" t="inlineStr">
        <is>
          <t>No</t>
        </is>
      </c>
      <c r="X14" s="16" t="inlineStr">
        <is>
          <t>other</t>
        </is>
      </c>
      <c r="Y14" s="16" t="inlineStr"/>
      <c r="Z14" s="16" t="inlineStr"/>
      <c r="AA14" s="16" t="inlineStr">
        <is>
          <t>Conference abstract; no extractable tetracycline estimate.</t>
        </is>
      </c>
    </row>
    <row r="15">
      <c r="A15" s="16" t="inlineStr">
        <is>
          <t>S13</t>
        </is>
      </c>
      <c r="B15" s="16" t="inlineStr">
        <is>
          <t>Chalmers</t>
        </is>
      </c>
      <c r="C15" s="16" t="n">
        <v>2016</v>
      </c>
      <c r="D15" s="16" t="inlineStr">
        <is>
          <t>Risk factors for CDI in hospitalized patients with community-acquired pneumonia</t>
        </is>
      </c>
      <c r="E15" s="16" t="inlineStr"/>
      <c r="F15" s="16" t="inlineStr"/>
      <c r="G15" s="16" t="inlineStr"/>
      <c r="H15" s="16" t="inlineStr"/>
      <c r="I15" s="16" t="inlineStr">
        <is>
          <t>Hospital/acute care</t>
        </is>
      </c>
      <c r="J15" s="16" t="inlineStr">
        <is>
          <t>Mixed/Both</t>
        </is>
      </c>
      <c r="K15" s="16" t="inlineStr">
        <is>
          <t>Retrospective cohort</t>
        </is>
      </c>
      <c r="L15" s="16" t="inlineStr"/>
      <c r="M15" s="16" t="inlineStr"/>
      <c r="N15" s="16" t="n">
        <v>1883</v>
      </c>
      <c r="O15" s="16" t="inlineStr"/>
      <c r="P15" s="16" t="inlineStr"/>
      <c r="Q15" s="16" t="inlineStr"/>
      <c r="R15" s="16" t="inlineStr"/>
      <c r="S15" s="16" t="inlineStr"/>
      <c r="T15" s="16" t="inlineStr">
        <is>
          <t>Tetracyclines</t>
        </is>
      </c>
      <c r="U15" s="16" t="inlineStr">
        <is>
          <t>Other antibiotics</t>
        </is>
      </c>
      <c r="V15" s="16" t="inlineStr"/>
      <c r="W15" s="16" t="inlineStr">
        <is>
          <t>Unclear</t>
        </is>
      </c>
      <c r="X15" s="16" t="inlineStr">
        <is>
          <t>other</t>
        </is>
      </c>
      <c r="Y15" s="16" t="inlineStr"/>
      <c r="Z15" s="16" t="inlineStr"/>
      <c r="AA15" s="16" t="inlineStr">
        <is>
          <t>Tetracyclines OR 0.9 (no CI); doxycycline often combined with macrolides.</t>
        </is>
      </c>
    </row>
    <row r="16">
      <c r="A16" s="16" t="inlineStr">
        <is>
          <t>S14</t>
        </is>
      </c>
      <c r="B16" s="16" t="inlineStr">
        <is>
          <t>Cui</t>
        </is>
      </c>
      <c r="C16" s="16" t="n">
        <v>2023</v>
      </c>
      <c r="D16" s="16" t="inlineStr">
        <is>
          <t>Epidemiological surveillance (2021-2022): high diversity of C. difficile</t>
        </is>
      </c>
      <c r="E16" s="16" t="inlineStr"/>
      <c r="F16" s="16" t="inlineStr"/>
      <c r="G16" s="16" t="inlineStr"/>
      <c r="H16" s="16" t="inlineStr"/>
      <c r="I16" s="16" t="inlineStr">
        <is>
          <t>Hospital/acute care</t>
        </is>
      </c>
      <c r="J16" s="16" t="inlineStr">
        <is>
          <t>Mixed/Both</t>
        </is>
      </c>
      <c r="K16" s="16" t="inlineStr">
        <is>
          <t>Case-control</t>
        </is>
      </c>
      <c r="L16" s="16" t="inlineStr"/>
      <c r="M16" s="16" t="inlineStr"/>
      <c r="N16" s="16" t="n">
        <v>3200</v>
      </c>
      <c r="O16" s="16" t="inlineStr"/>
      <c r="P16" s="16" t="inlineStr"/>
      <c r="Q16" s="16" t="inlineStr"/>
      <c r="R16" s="16" t="inlineStr"/>
      <c r="S16" s="16" t="inlineStr"/>
      <c r="T16" s="16" t="inlineStr">
        <is>
          <t>Tetracyclines</t>
        </is>
      </c>
      <c r="U16" s="16" t="inlineStr">
        <is>
          <t>Reference category</t>
        </is>
      </c>
      <c r="V16" s="16" t="inlineStr"/>
      <c r="W16" s="16" t="inlineStr">
        <is>
          <t>Yes</t>
        </is>
      </c>
      <c r="X16" s="16" t="inlineStr">
        <is>
          <t>other</t>
        </is>
      </c>
      <c r="Y16" s="16" t="inlineStr"/>
      <c r="Z16" s="16" t="inlineStr"/>
      <c r="AA16" s="16" t="inlineStr">
        <is>
          <t>Very wide CI; univariable OR 15.2.</t>
        </is>
      </c>
    </row>
    <row r="17">
      <c r="A17" s="16" t="inlineStr">
        <is>
          <t>S15</t>
        </is>
      </c>
      <c r="B17" s="16" t="inlineStr">
        <is>
          <t>Dai</t>
        </is>
      </c>
      <c r="C17" s="16" t="n">
        <v>2020</v>
      </c>
      <c r="D17" s="16" t="inlineStr">
        <is>
          <t>Characteristics of C. difficile isolates and burden of HA-CDI</t>
        </is>
      </c>
      <c r="E17" s="16" t="inlineStr"/>
      <c r="F17" s="16" t="inlineStr"/>
      <c r="G17" s="16" t="inlineStr"/>
      <c r="H17" s="16" t="inlineStr"/>
      <c r="I17" s="16" t="inlineStr">
        <is>
          <t>Hospital/acute care</t>
        </is>
      </c>
      <c r="J17" s="16" t="inlineStr">
        <is>
          <t>HA-CDI (healthcare-associated)</t>
        </is>
      </c>
      <c r="K17" s="16" t="inlineStr">
        <is>
          <t>Case-control</t>
        </is>
      </c>
      <c r="L17" s="16" t="inlineStr"/>
      <c r="M17" s="16" t="inlineStr"/>
      <c r="N17" s="16" t="n">
        <v>211536</v>
      </c>
      <c r="O17" s="16" t="inlineStr"/>
      <c r="P17" s="16" t="inlineStr"/>
      <c r="Q17" s="16" t="inlineStr"/>
      <c r="R17" s="16" t="inlineStr"/>
      <c r="S17" s="16" t="inlineStr"/>
      <c r="T17" s="16" t="inlineStr">
        <is>
          <t>Tigecycline</t>
        </is>
      </c>
      <c r="U17" s="16" t="inlineStr"/>
      <c r="V17" s="16" t="inlineStr"/>
      <c r="W17" s="16" t="inlineStr">
        <is>
          <t>No</t>
        </is>
      </c>
      <c r="X17" s="16" t="inlineStr">
        <is>
          <t>other</t>
        </is>
      </c>
      <c r="Y17" s="16" t="inlineStr"/>
      <c r="Z17" s="16" t="inlineStr"/>
      <c r="AA17" s="16" t="inlineStr">
        <is>
          <t>Tigecycline only in MIC/susceptibility context (microbiology).</t>
        </is>
      </c>
    </row>
    <row r="18">
      <c r="A18" s="16" t="inlineStr">
        <is>
          <t>S16</t>
        </is>
      </c>
      <c r="B18" s="16" t="inlineStr">
        <is>
          <t>Dang</t>
        </is>
      </c>
      <c r="C18" s="16" t="n">
        <v>2021</v>
      </c>
      <c r="D18" s="16" t="inlineStr">
        <is>
          <t>Impact of Antecedent Antibiotic Usage on CA-CDI</t>
        </is>
      </c>
      <c r="E18" s="16" t="inlineStr"/>
      <c r="F18" s="16" t="inlineStr"/>
      <c r="G18" s="16" t="inlineStr"/>
      <c r="H18" s="16" t="inlineStr"/>
      <c r="I18" s="16" t="inlineStr">
        <is>
          <t>Community</t>
        </is>
      </c>
      <c r="J18" s="16" t="inlineStr">
        <is>
          <t>CA-CDI (community-associated)</t>
        </is>
      </c>
      <c r="K18" s="16" t="inlineStr">
        <is>
          <t>Case-control</t>
        </is>
      </c>
      <c r="L18" s="16" t="inlineStr"/>
      <c r="M18" s="16" t="inlineStr"/>
      <c r="N18" s="16" t="n">
        <v>408</v>
      </c>
      <c r="O18" s="16" t="inlineStr"/>
      <c r="P18" s="16" t="inlineStr"/>
      <c r="Q18" s="16" t="inlineStr"/>
      <c r="R18" s="16" t="inlineStr"/>
      <c r="S18" s="16" t="inlineStr"/>
      <c r="T18" s="16" t="inlineStr">
        <is>
          <t>Doxycycline</t>
        </is>
      </c>
      <c r="U18" s="16" t="inlineStr">
        <is>
          <t>Other antibiotics</t>
        </is>
      </c>
      <c r="V18" s="16" t="inlineStr"/>
      <c r="W18" s="16" t="inlineStr">
        <is>
          <t>Unclear</t>
        </is>
      </c>
      <c r="X18" s="16" t="inlineStr">
        <is>
          <t>other</t>
        </is>
      </c>
      <c r="Y18" s="16" t="inlineStr"/>
      <c r="Z18" s="16" t="inlineStr"/>
      <c r="AA18" s="16" t="inlineStr">
        <is>
          <t>Doxycycline reported significant; exact estimate not auto-extracted.</t>
        </is>
      </c>
    </row>
    <row r="19">
      <c r="A19" s="16" t="inlineStr">
        <is>
          <t>S17</t>
        </is>
      </c>
      <c r="B19" s="16" t="inlineStr">
        <is>
          <t>Delaney</t>
        </is>
      </c>
      <c r="C19" s="16" t="n">
        <v>2007</v>
      </c>
      <c r="D19" s="16" t="inlineStr">
        <is>
          <t>Antimicrobial drugs and community-acquired CDAD, UK</t>
        </is>
      </c>
      <c r="E19" s="16" t="inlineStr">
        <is>
          <t>Emerg Infect Dis</t>
        </is>
      </c>
      <c r="F19" s="16" t="inlineStr"/>
      <c r="G19" s="16" t="inlineStr"/>
      <c r="H19" s="16" t="inlineStr"/>
      <c r="I19" s="16" t="inlineStr">
        <is>
          <t>Community</t>
        </is>
      </c>
      <c r="J19" s="16" t="inlineStr">
        <is>
          <t>CA-CDI (community-associated)</t>
        </is>
      </c>
      <c r="K19" s="16" t="inlineStr">
        <is>
          <t>Case-control</t>
        </is>
      </c>
      <c r="L19" s="16" t="inlineStr"/>
      <c r="M19" s="16" t="inlineStr"/>
      <c r="N19" s="16" t="n">
        <v>12330</v>
      </c>
      <c r="O19" s="16" t="inlineStr"/>
      <c r="P19" s="16" t="inlineStr"/>
      <c r="Q19" s="16" t="inlineStr"/>
      <c r="R19" s="16" t="inlineStr"/>
      <c r="S19" s="16" t="inlineStr"/>
      <c r="T19" s="16" t="inlineStr">
        <is>
          <t>Tetracyclines</t>
        </is>
      </c>
      <c r="U19" s="16" t="inlineStr">
        <is>
          <t>Other antibiotics</t>
        </is>
      </c>
      <c r="V19" s="16" t="inlineStr"/>
      <c r="W19" s="16" t="inlineStr">
        <is>
          <t>Yes</t>
        </is>
      </c>
      <c r="X19" s="16" t="inlineStr">
        <is>
          <t>other</t>
        </is>
      </c>
      <c r="Y19" s="16" t="inlineStr"/>
      <c r="Z19" s="16" t="inlineStr"/>
      <c r="AA19" s="16" t="inlineStr">
        <is>
          <t>GPRD case-control.</t>
        </is>
      </c>
    </row>
    <row r="20">
      <c r="A20" s="16" t="inlineStr">
        <is>
          <t>S18</t>
        </is>
      </c>
      <c r="B20" s="16" t="inlineStr">
        <is>
          <t>Dial</t>
        </is>
      </c>
      <c r="C20" s="16" t="n">
        <v>2008</v>
      </c>
      <c r="D20" s="16" t="inlineStr">
        <is>
          <t>Patterns of antibiotic use and risk of hospital admission for CDI</t>
        </is>
      </c>
      <c r="E20" s="16" t="inlineStr">
        <is>
          <t>CMAJ</t>
        </is>
      </c>
      <c r="F20" s="16" t="inlineStr"/>
      <c r="G20" s="16" t="inlineStr"/>
      <c r="H20" s="16" t="inlineStr"/>
      <c r="I20" s="16" t="inlineStr">
        <is>
          <t>Community</t>
        </is>
      </c>
      <c r="J20" s="16" t="inlineStr">
        <is>
          <t>Mixed/Both</t>
        </is>
      </c>
      <c r="K20" s="16" t="inlineStr">
        <is>
          <t>Nested case-control</t>
        </is>
      </c>
      <c r="L20" s="16" t="inlineStr"/>
      <c r="M20" s="16" t="inlineStr"/>
      <c r="N20" s="16" t="n">
        <v>8360</v>
      </c>
      <c r="O20" s="16" t="inlineStr"/>
      <c r="P20" s="16" t="inlineStr"/>
      <c r="Q20" s="16" t="inlineStr"/>
      <c r="R20" s="16" t="inlineStr"/>
      <c r="S20" s="16" t="inlineStr"/>
      <c r="T20" s="16" t="inlineStr">
        <is>
          <t>Tetracyclines</t>
        </is>
      </c>
      <c r="U20" s="16" t="inlineStr">
        <is>
          <t>Unexposed / other</t>
        </is>
      </c>
      <c r="V20" s="16" t="inlineStr"/>
      <c r="W20" s="16" t="inlineStr">
        <is>
          <t>Yes</t>
        </is>
      </c>
      <c r="X20" s="16" t="inlineStr">
        <is>
          <t>tariq-2018 (carried forward)</t>
        </is>
      </c>
      <c r="Y20" s="16" t="inlineStr"/>
      <c r="Z20" s="16" t="inlineStr"/>
      <c r="AA20" s="16" t="inlineStr">
        <is>
          <t>Tariq anchor.</t>
        </is>
      </c>
    </row>
    <row r="21">
      <c r="A21" s="16" t="inlineStr">
        <is>
          <t>S19</t>
        </is>
      </c>
      <c r="B21" s="16" t="inlineStr">
        <is>
          <t>Doernberg</t>
        </is>
      </c>
      <c r="C21" s="16" t="n">
        <v>2012</v>
      </c>
      <c r="D21" s="16" t="inlineStr">
        <is>
          <t>Does doxycycline protect against development of CDI?</t>
        </is>
      </c>
      <c r="E21" s="16" t="inlineStr">
        <is>
          <t>Clin Infect Dis</t>
        </is>
      </c>
      <c r="F21" s="16" t="inlineStr"/>
      <c r="G21" s="16" t="inlineStr"/>
      <c r="H21" s="16" t="inlineStr"/>
      <c r="I21" s="16" t="inlineStr">
        <is>
          <t>Hospital/acute care</t>
        </is>
      </c>
      <c r="J21" s="16" t="inlineStr">
        <is>
          <t>HA-CDI (healthcare-associated)</t>
        </is>
      </c>
      <c r="K21" s="16" t="inlineStr">
        <is>
          <t>Retrospective cohort</t>
        </is>
      </c>
      <c r="L21" s="16" t="inlineStr"/>
      <c r="M21" s="16" t="inlineStr"/>
      <c r="N21" s="16" t="n">
        <v>1668</v>
      </c>
      <c r="O21" s="16" t="inlineStr"/>
      <c r="P21" s="16" t="inlineStr"/>
      <c r="Q21" s="16" t="inlineStr"/>
      <c r="R21" s="16" t="inlineStr"/>
      <c r="S21" s="16" t="inlineStr"/>
      <c r="T21" s="16" t="inlineStr">
        <is>
          <t>Doxycycline</t>
        </is>
      </c>
      <c r="U21" s="16" t="inlineStr">
        <is>
          <t>Ceftriaxone without doxycycline</t>
        </is>
      </c>
      <c r="V21" s="16" t="inlineStr"/>
      <c r="W21" s="16" t="inlineStr">
        <is>
          <t>Yes</t>
        </is>
      </c>
      <c r="X21" s="16" t="inlineStr">
        <is>
          <t>tariq-2018 (carried forward)</t>
        </is>
      </c>
      <c r="Y21" s="16" t="inlineStr"/>
      <c r="Z21" s="16" t="inlineStr"/>
      <c r="AA21" s="16" t="inlineStr">
        <is>
          <t>Tariq anchor; incidence 1.67 vs 8.11/10k pt-days.</t>
        </is>
      </c>
    </row>
    <row r="22">
      <c r="A22" s="16" t="inlineStr">
        <is>
          <t>S20</t>
        </is>
      </c>
      <c r="B22" s="16" t="inlineStr">
        <is>
          <t>Forster</t>
        </is>
      </c>
      <c r="C22" s="16" t="n">
        <v>2017</v>
      </c>
      <c r="D22" s="16" t="inlineStr">
        <is>
          <t>Influence of antibiotics and case exposure on HA-CDI</t>
        </is>
      </c>
      <c r="E22" s="16" t="inlineStr"/>
      <c r="F22" s="16" t="inlineStr"/>
      <c r="G22" s="16" t="inlineStr"/>
      <c r="H22" s="16" t="inlineStr"/>
      <c r="I22" s="16" t="inlineStr">
        <is>
          <t>Hospital/acute care</t>
        </is>
      </c>
      <c r="J22" s="16" t="inlineStr">
        <is>
          <t>HA-CDI (healthcare-associated)</t>
        </is>
      </c>
      <c r="K22" s="16" t="inlineStr">
        <is>
          <t>?</t>
        </is>
      </c>
      <c r="L22" s="16" t="inlineStr"/>
      <c r="M22" s="16" t="inlineStr"/>
      <c r="N22" s="16" t="inlineStr"/>
      <c r="O22" s="16" t="inlineStr"/>
      <c r="P22" s="16" t="inlineStr"/>
      <c r="Q22" s="16" t="inlineStr"/>
      <c r="R22" s="16" t="inlineStr"/>
      <c r="S22" s="16" t="inlineStr"/>
      <c r="T22" s="16" t="inlineStr">
        <is>
          <t>(none)</t>
        </is>
      </c>
      <c r="U22" s="16" t="inlineStr"/>
      <c r="V22" s="16" t="inlineStr"/>
      <c r="W22" s="16" t="inlineStr">
        <is>
          <t>No</t>
        </is>
      </c>
      <c r="X22" s="16" t="inlineStr">
        <is>
          <t>other</t>
        </is>
      </c>
      <c r="Y22" s="16" t="inlineStr"/>
      <c r="Z22" s="16" t="inlineStr"/>
      <c r="AA22" s="16" t="inlineStr">
        <is>
          <t>No tetracycline mention detected.</t>
        </is>
      </c>
    </row>
    <row r="23">
      <c r="A23" s="16" t="inlineStr">
        <is>
          <t>S21</t>
        </is>
      </c>
      <c r="B23" s="16" t="inlineStr">
        <is>
          <t>Gilboa</t>
        </is>
      </c>
      <c r="C23" s="16" t="n">
        <v>2025</v>
      </c>
      <c r="D23" s="16" t="inlineStr">
        <is>
          <t>Antibiotic Use and the Risk of Hospital-Onset CDI</t>
        </is>
      </c>
      <c r="E23" s="16" t="inlineStr"/>
      <c r="F23" s="16" t="inlineStr"/>
      <c r="G23" s="16" t="inlineStr"/>
      <c r="H23" s="16" t="inlineStr"/>
      <c r="I23" s="16" t="inlineStr">
        <is>
          <t>Hospital/acute care</t>
        </is>
      </c>
      <c r="J23" s="16" t="inlineStr">
        <is>
          <t>HA-CDI (healthcare-associated)</t>
        </is>
      </c>
      <c r="K23" s="16" t="inlineStr">
        <is>
          <t>Retrospective cohort</t>
        </is>
      </c>
      <c r="L23" s="16" t="inlineStr"/>
      <c r="M23" s="16" t="inlineStr"/>
      <c r="N23" s="16" t="n">
        <v>1624</v>
      </c>
      <c r="O23" s="16" t="inlineStr"/>
      <c r="P23" s="16" t="inlineStr"/>
      <c r="Q23" s="16" t="inlineStr"/>
      <c r="R23" s="16" t="inlineStr"/>
      <c r="S23" s="16" t="inlineStr"/>
      <c r="T23" s="16" t="inlineStr">
        <is>
          <t>Tetracyclines (grouped)</t>
        </is>
      </c>
      <c r="U23" s="16" t="inlineStr">
        <is>
          <t>Other antibiotics</t>
        </is>
      </c>
      <c r="V23" s="16" t="inlineStr"/>
      <c r="W23" s="16" t="inlineStr">
        <is>
          <t>No</t>
        </is>
      </c>
      <c r="X23" s="16" t="inlineStr">
        <is>
          <t>other</t>
        </is>
      </c>
      <c r="Y23" s="16" t="inlineStr"/>
      <c r="Z23" s="16" t="inlineStr"/>
      <c r="AA23" s="16" t="inlineStr">
        <is>
          <t>Tetracyclines folded into 'other antibiotics'; no separable estimate.</t>
        </is>
      </c>
    </row>
    <row r="24">
      <c r="A24" s="16" t="inlineStr">
        <is>
          <t>S22</t>
        </is>
      </c>
      <c r="B24" s="16" t="inlineStr">
        <is>
          <t>Greco Kinney</t>
        </is>
      </c>
      <c r="C24" s="16" t="n">
        <v>2023</v>
      </c>
      <c r="D24" s="16" t="inlineStr">
        <is>
          <t>Beta-lactams plus doxycycline vs azithromycin for severe CAP</t>
        </is>
      </c>
      <c r="E24" s="16" t="inlineStr"/>
      <c r="F24" s="16" t="inlineStr"/>
      <c r="G24" s="16" t="inlineStr"/>
      <c r="H24" s="16" t="inlineStr"/>
      <c r="I24" s="16" t="inlineStr">
        <is>
          <t>Community</t>
        </is>
      </c>
      <c r="J24" s="16" t="inlineStr">
        <is>
          <t>CA-CDI (community-associated)</t>
        </is>
      </c>
      <c r="K24" s="16" t="inlineStr">
        <is>
          <t>Retrospective cohort</t>
        </is>
      </c>
      <c r="L24" s="16" t="inlineStr"/>
      <c r="M24" s="16" t="inlineStr"/>
      <c r="N24" s="16" t="n">
        <v>880</v>
      </c>
      <c r="O24" s="16" t="inlineStr"/>
      <c r="P24" s="16" t="inlineStr"/>
      <c r="Q24" s="16" t="inlineStr"/>
      <c r="R24" s="16" t="inlineStr"/>
      <c r="S24" s="16" t="inlineStr"/>
      <c r="T24" s="16" t="inlineStr">
        <is>
          <t>Doxycycline (combination)</t>
        </is>
      </c>
      <c r="U24" s="16" t="inlineStr">
        <is>
          <t>Azithromycin</t>
        </is>
      </c>
      <c r="V24" s="16" t="inlineStr"/>
      <c r="W24" s="16" t="inlineStr">
        <is>
          <t>Unclear</t>
        </is>
      </c>
      <c r="X24" s="16" t="inlineStr">
        <is>
          <t>other</t>
        </is>
      </c>
      <c r="Y24" s="16" t="inlineStr"/>
      <c r="Z24" s="16" t="inlineStr"/>
      <c r="AA24" s="16" t="inlineStr">
        <is>
          <t>Treatment comparison; CDI outcome unclear from text; combination therapy.</t>
        </is>
      </c>
    </row>
    <row r="25">
      <c r="A25" s="16" t="inlineStr">
        <is>
          <t>S23</t>
        </is>
      </c>
      <c r="B25" s="16" t="inlineStr">
        <is>
          <t>Guh</t>
        </is>
      </c>
      <c r="C25" s="16" t="n">
        <v>2015</v>
      </c>
      <c r="D25" s="16" t="inlineStr">
        <is>
          <t>Risk Factors for CA-CDI in Adults: A Case-Control Study</t>
        </is>
      </c>
      <c r="E25" s="16" t="inlineStr"/>
      <c r="F25" s="16" t="inlineStr"/>
      <c r="G25" s="16" t="inlineStr"/>
      <c r="H25" s="16" t="inlineStr"/>
      <c r="I25" s="16" t="inlineStr">
        <is>
          <t>Community</t>
        </is>
      </c>
      <c r="J25" s="16" t="inlineStr">
        <is>
          <t>CA-CDI (community-associated)</t>
        </is>
      </c>
      <c r="K25" s="16" t="inlineStr">
        <is>
          <t>Case-control</t>
        </is>
      </c>
      <c r="L25" s="16" t="inlineStr"/>
      <c r="M25" s="16" t="inlineStr"/>
      <c r="N25" s="16" t="n">
        <v>452</v>
      </c>
      <c r="O25" s="16" t="inlineStr"/>
      <c r="P25" s="16" t="inlineStr"/>
      <c r="Q25" s="16" t="inlineStr"/>
      <c r="R25" s="16" t="inlineStr"/>
      <c r="S25" s="16" t="inlineStr"/>
      <c r="T25" s="16" t="inlineStr">
        <is>
          <t>Tetracycline</t>
        </is>
      </c>
      <c r="U25" s="16" t="inlineStr">
        <is>
          <t>Other antibiotics</t>
        </is>
      </c>
      <c r="V25" s="16" t="inlineStr"/>
      <c r="W25" s="16" t="inlineStr">
        <is>
          <t>Yes</t>
        </is>
      </c>
      <c r="X25" s="16" t="inlineStr">
        <is>
          <t>other</t>
        </is>
      </c>
      <c r="Y25" s="16" t="inlineStr"/>
      <c r="Z25" s="16" t="inlineStr"/>
      <c r="AA25" s="16" t="inlineStr">
        <is>
          <t>2x2 available.</t>
        </is>
      </c>
    </row>
    <row r="26">
      <c r="A26" s="16" t="inlineStr">
        <is>
          <t>S24</t>
        </is>
      </c>
      <c r="B26" s="16" t="inlineStr">
        <is>
          <t>Guo</t>
        </is>
      </c>
      <c r="C26" s="16" t="n">
        <v>2021</v>
      </c>
      <c r="D26" s="16" t="inlineStr">
        <is>
          <t>Trends in incidence and clinical outcomes of CDI, Hong Kong</t>
        </is>
      </c>
      <c r="E26" s="16" t="inlineStr">
        <is>
          <t>Emerg Infect Dis</t>
        </is>
      </c>
      <c r="F26" s="16" t="inlineStr"/>
      <c r="G26" s="16" t="inlineStr"/>
      <c r="H26" s="16" t="inlineStr"/>
      <c r="I26" s="16" t="inlineStr">
        <is>
          <t>Hospital/acute care</t>
        </is>
      </c>
      <c r="J26" s="16" t="inlineStr">
        <is>
          <t>Mixed/Both</t>
        </is>
      </c>
      <c r="K26" s="16" t="inlineStr">
        <is>
          <t>Retrospective cohort</t>
        </is>
      </c>
      <c r="L26" s="16" t="inlineStr"/>
      <c r="M26" s="16" t="inlineStr"/>
      <c r="N26" s="16" t="n">
        <v>17105</v>
      </c>
      <c r="O26" s="16" t="inlineStr"/>
      <c r="P26" s="16" t="inlineStr"/>
      <c r="Q26" s="16" t="inlineStr"/>
      <c r="R26" s="16" t="inlineStr"/>
      <c r="S26" s="16" t="inlineStr"/>
      <c r="T26" s="16" t="inlineStr">
        <is>
          <t>Tetracyclines</t>
        </is>
      </c>
      <c r="U26" s="16" t="inlineStr">
        <is>
          <t>Other antibiotics</t>
        </is>
      </c>
      <c r="V26" s="16" t="inlineStr"/>
      <c r="W26" s="16" t="inlineStr">
        <is>
          <t>Yes</t>
        </is>
      </c>
      <c r="X26" s="16" t="inlineStr">
        <is>
          <t>other</t>
        </is>
      </c>
      <c r="Y26" s="16" t="inlineStr"/>
      <c r="Z26" s="16" t="inlineStr"/>
      <c r="AA26" s="16" t="inlineStr">
        <is>
          <t>Crude 1.291; adjusted 1.219.</t>
        </is>
      </c>
    </row>
    <row r="27">
      <c r="A27" s="16" t="inlineStr">
        <is>
          <t>S25</t>
        </is>
      </c>
      <c r="B27" s="16" t="inlineStr">
        <is>
          <t>Hensgens</t>
        </is>
      </c>
      <c r="C27" s="16" t="n">
        <v>2012</v>
      </c>
      <c r="D27" s="16" t="inlineStr">
        <is>
          <t>Time interval of increased risk for CDI after antibiotic exposure</t>
        </is>
      </c>
      <c r="E27" s="16" t="inlineStr"/>
      <c r="F27" s="16" t="inlineStr"/>
      <c r="G27" s="16" t="inlineStr"/>
      <c r="H27" s="16" t="inlineStr"/>
      <c r="I27" s="16" t="inlineStr">
        <is>
          <t>Community</t>
        </is>
      </c>
      <c r="J27" s="16" t="inlineStr">
        <is>
          <t>CA-CDI (community-associated)</t>
        </is>
      </c>
      <c r="K27" s="16" t="inlineStr">
        <is>
          <t>Case-control</t>
        </is>
      </c>
      <c r="L27" s="16" t="inlineStr"/>
      <c r="M27" s="16" t="inlineStr"/>
      <c r="N27" s="16" t="n">
        <v>337</v>
      </c>
      <c r="O27" s="16" t="inlineStr"/>
      <c r="P27" s="16" t="inlineStr"/>
      <c r="Q27" s="16" t="inlineStr"/>
      <c r="R27" s="16" t="inlineStr"/>
      <c r="S27" s="16" t="inlineStr"/>
      <c r="T27" s="16" t="inlineStr">
        <is>
          <t>(not detected)</t>
        </is>
      </c>
      <c r="U27" s="16" t="inlineStr"/>
      <c r="V27" s="16" t="inlineStr"/>
      <c r="W27" s="16" t="inlineStr">
        <is>
          <t>Unclear</t>
        </is>
      </c>
      <c r="X27" s="16" t="inlineStr">
        <is>
          <t>other</t>
        </is>
      </c>
      <c r="Y27" s="16" t="inlineStr"/>
      <c r="Z27" s="16" t="inlineStr"/>
      <c r="AA27" s="16" t="inlineStr">
        <is>
          <t>No tetracycline line auto-detected; check antibiotic-class table.</t>
        </is>
      </c>
    </row>
    <row r="28">
      <c r="A28" s="16" t="inlineStr">
        <is>
          <t>S26</t>
        </is>
      </c>
      <c r="B28" s="16" t="inlineStr">
        <is>
          <t>Ito</t>
        </is>
      </c>
      <c r="C28" s="16" t="n">
        <v>2025</v>
      </c>
      <c r="D28" s="16" t="inlineStr">
        <is>
          <t>Step-down Therapy with Oral Minocycline for Complicated Pyelonephritis</t>
        </is>
      </c>
      <c r="E28" s="16" t="inlineStr"/>
      <c r="F28" s="16" t="inlineStr"/>
      <c r="G28" s="16" t="inlineStr"/>
      <c r="H28" s="16" t="inlineStr"/>
      <c r="I28" s="16" t="inlineStr">
        <is>
          <t>Hospital/acute care</t>
        </is>
      </c>
      <c r="J28" s="16" t="inlineStr">
        <is>
          <t>Mixed/Both</t>
        </is>
      </c>
      <c r="K28" s="16" t="inlineStr">
        <is>
          <t>Retrospective cohort</t>
        </is>
      </c>
      <c r="L28" s="16" t="inlineStr"/>
      <c r="M28" s="16" t="inlineStr"/>
      <c r="N28" s="16" t="inlineStr"/>
      <c r="O28" s="16" t="inlineStr"/>
      <c r="P28" s="16" t="inlineStr"/>
      <c r="Q28" s="16" t="inlineStr"/>
      <c r="R28" s="16" t="inlineStr"/>
      <c r="S28" s="16" t="inlineStr"/>
      <c r="T28" s="16" t="inlineStr">
        <is>
          <t>Minocycline</t>
        </is>
      </c>
      <c r="U28" s="16" t="inlineStr"/>
      <c r="V28" s="16" t="inlineStr"/>
      <c r="W28" s="16" t="inlineStr">
        <is>
          <t>No</t>
        </is>
      </c>
      <c r="X28" s="16" t="inlineStr">
        <is>
          <t>other</t>
        </is>
      </c>
      <c r="Y28" s="16" t="inlineStr"/>
      <c r="Z28" s="16" t="inlineStr"/>
      <c r="AA28" s="16" t="inlineStr">
        <is>
          <t>Outcome = treatment efficacy/relapse, NOT incident CDI.</t>
        </is>
      </c>
    </row>
    <row r="29">
      <c r="A29" s="16" t="inlineStr">
        <is>
          <t>S27</t>
        </is>
      </c>
      <c r="B29" s="16" t="inlineStr">
        <is>
          <t>John</t>
        </is>
      </c>
      <c r="C29" s="16" t="n">
        <v>2018</v>
      </c>
      <c r="D29" s="16" t="inlineStr">
        <is>
          <t>517. Impact of Doxycycline in Place of Azithromycin for CAP on CDI (abstract)</t>
        </is>
      </c>
      <c r="E29" s="16" t="inlineStr"/>
      <c r="F29" s="16" t="inlineStr"/>
      <c r="G29" s="16" t="inlineStr"/>
      <c r="H29" s="16" t="inlineStr"/>
      <c r="I29" s="16" t="inlineStr">
        <is>
          <t>Mixed</t>
        </is>
      </c>
      <c r="J29" s="16" t="inlineStr">
        <is>
          <t>Mixed/Both</t>
        </is>
      </c>
      <c r="K29" s="16" t="inlineStr">
        <is>
          <t>Retrospective cohort</t>
        </is>
      </c>
      <c r="L29" s="16" t="inlineStr"/>
      <c r="M29" s="16" t="inlineStr"/>
      <c r="N29" s="16" t="inlineStr"/>
      <c r="O29" s="16" t="inlineStr"/>
      <c r="P29" s="16" t="inlineStr"/>
      <c r="Q29" s="16" t="inlineStr"/>
      <c r="R29" s="16" t="inlineStr"/>
      <c r="S29" s="16" t="inlineStr"/>
      <c r="T29" s="16" t="inlineStr">
        <is>
          <t>Doxycycline</t>
        </is>
      </c>
      <c r="U29" s="16" t="inlineStr">
        <is>
          <t>Azithromycin</t>
        </is>
      </c>
      <c r="V29" s="16" t="inlineStr"/>
      <c r="W29" s="16" t="inlineStr">
        <is>
          <t>Unclear</t>
        </is>
      </c>
      <c r="X29" s="16" t="inlineStr">
        <is>
          <t>other</t>
        </is>
      </c>
      <c r="Y29" s="16" t="inlineStr"/>
      <c r="Z29" s="16" t="inlineStr"/>
      <c r="AA29" s="16" t="inlineStr">
        <is>
          <t>Conf abstract; doxycycline substitution vs azithromycin; extract CDI from source.</t>
        </is>
      </c>
    </row>
    <row r="30">
      <c r="A30" s="16" t="inlineStr">
        <is>
          <t>S28</t>
        </is>
      </c>
      <c r="B30" s="16" t="inlineStr">
        <is>
          <t>Katz</t>
        </is>
      </c>
      <c r="C30" s="16" t="n">
        <v>2017</v>
      </c>
      <c r="D30" s="16" t="inlineStr">
        <is>
          <t>Incidence of Pediatric CA-CDI Following Common Antibiotics (abstract)</t>
        </is>
      </c>
      <c r="E30" s="16" t="inlineStr"/>
      <c r="F30" s="16" t="inlineStr"/>
      <c r="G30" s="16" t="inlineStr"/>
      <c r="H30" s="16" t="inlineStr"/>
      <c r="I30" s="16" t="inlineStr">
        <is>
          <t>Community</t>
        </is>
      </c>
      <c r="J30" s="16" t="inlineStr">
        <is>
          <t>CA-CDI (community-associated)</t>
        </is>
      </c>
      <c r="K30" s="16" t="inlineStr">
        <is>
          <t>Retrospective cohort</t>
        </is>
      </c>
      <c r="L30" s="16" t="inlineStr"/>
      <c r="M30" s="16" t="inlineStr"/>
      <c r="N30" s="16" t="inlineStr"/>
      <c r="O30" s="16" t="inlineStr"/>
      <c r="P30" s="16" t="inlineStr"/>
      <c r="Q30" s="16" t="inlineStr"/>
      <c r="R30" s="16" t="inlineStr"/>
      <c r="S30" s="16" t="inlineStr"/>
      <c r="T30" s="16" t="inlineStr">
        <is>
          <t>Doxycycline</t>
        </is>
      </c>
      <c r="U30" s="16" t="inlineStr">
        <is>
          <t>Other antibiotics</t>
        </is>
      </c>
      <c r="V30" s="16" t="inlineStr"/>
      <c r="W30" s="16" t="inlineStr">
        <is>
          <t>Unclear</t>
        </is>
      </c>
      <c r="X30" s="16" t="inlineStr">
        <is>
          <t>other</t>
        </is>
      </c>
      <c r="Y30" s="16" t="inlineStr"/>
      <c r="Z30" s="16" t="inlineStr"/>
      <c r="AA30" s="16" t="inlineStr">
        <is>
          <t>Pediatric; doxycycline CDI count reported; comparator unclear.</t>
        </is>
      </c>
    </row>
    <row r="31">
      <c r="A31" s="16" t="inlineStr">
        <is>
          <t>S29</t>
        </is>
      </c>
      <c r="B31" s="16" t="inlineStr">
        <is>
          <t>Kavanagh</t>
        </is>
      </c>
      <c r="C31" s="16" t="n">
        <v>2016</v>
      </c>
      <c r="D31" s="16" t="inlineStr">
        <is>
          <t>Cumulative/temporal associations between prescribing and CA-CDI</t>
        </is>
      </c>
      <c r="E31" s="16" t="inlineStr"/>
      <c r="F31" s="16" t="inlineStr"/>
      <c r="G31" s="16" t="inlineStr"/>
      <c r="H31" s="16" t="inlineStr"/>
      <c r="I31" s="16" t="inlineStr">
        <is>
          <t>Community</t>
        </is>
      </c>
      <c r="J31" s="16" t="inlineStr">
        <is>
          <t>Mixed/Both</t>
        </is>
      </c>
      <c r="K31" s="16" t="inlineStr">
        <is>
          <t>?</t>
        </is>
      </c>
      <c r="L31" s="16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  <c r="T31" s="16" t="inlineStr">
        <is>
          <t>(not detected)</t>
        </is>
      </c>
      <c r="U31" s="16" t="inlineStr"/>
      <c r="V31" s="16" t="inlineStr"/>
      <c r="W31" s="16" t="inlineStr">
        <is>
          <t>No</t>
        </is>
      </c>
      <c r="X31" s="16" t="inlineStr">
        <is>
          <t>other</t>
        </is>
      </c>
      <c r="Y31" s="16" t="inlineStr"/>
      <c r="Z31" s="16" t="inlineStr"/>
      <c r="AA31" s="16" t="inlineStr">
        <is>
          <t>Consumption/temporal; no individual tetracycline estimate.</t>
        </is>
      </c>
    </row>
    <row r="32">
      <c r="A32" s="16" t="inlineStr">
        <is>
          <t>S30</t>
        </is>
      </c>
      <c r="B32" s="16" t="inlineStr">
        <is>
          <t>Khanafer</t>
        </is>
      </c>
      <c r="C32" s="16" t="n">
        <v>2017</v>
      </c>
      <c r="D32" s="16" t="inlineStr">
        <is>
          <t>Factors associated with CDI: a nested case-control study</t>
        </is>
      </c>
      <c r="E32" s="16" t="inlineStr"/>
      <c r="F32" s="16" t="inlineStr"/>
      <c r="G32" s="16" t="inlineStr"/>
      <c r="H32" s="16" t="inlineStr"/>
      <c r="I32" s="16" t="inlineStr">
        <is>
          <t>Hospital/acute care</t>
        </is>
      </c>
      <c r="J32" s="16" t="inlineStr">
        <is>
          <t>HA-CDI (healthcare-associated)</t>
        </is>
      </c>
      <c r="K32" s="16" t="inlineStr">
        <is>
          <t>Nested case-control</t>
        </is>
      </c>
      <c r="L32" s="16" t="inlineStr"/>
      <c r="M32" s="16" t="inlineStr"/>
      <c r="N32" s="16" t="n">
        <v>3514</v>
      </c>
      <c r="O32" s="16" t="inlineStr"/>
      <c r="P32" s="16" t="inlineStr"/>
      <c r="Q32" s="16" t="inlineStr"/>
      <c r="R32" s="16" t="inlineStr"/>
      <c r="S32" s="16" t="inlineStr"/>
      <c r="T32" s="16" t="inlineStr">
        <is>
          <t>(not detected)</t>
        </is>
      </c>
      <c r="U32" s="16" t="inlineStr"/>
      <c r="V32" s="16" t="inlineStr"/>
      <c r="W32" s="16" t="inlineStr">
        <is>
          <t>No</t>
        </is>
      </c>
      <c r="X32" s="16" t="inlineStr">
        <is>
          <t>other</t>
        </is>
      </c>
      <c r="Y32" s="16" t="inlineStr"/>
      <c r="Z32" s="16" t="inlineStr"/>
      <c r="AA32" s="16" t="inlineStr">
        <is>
          <t>No tetracycline mention detected.</t>
        </is>
      </c>
    </row>
    <row r="33">
      <c r="A33" s="16" t="inlineStr">
        <is>
          <t>S31</t>
        </is>
      </c>
      <c r="B33" s="16" t="inlineStr">
        <is>
          <t>King</t>
        </is>
      </c>
      <c r="C33" s="16" t="n">
        <v>2011</v>
      </c>
      <c r="D33" s="16" t="inlineStr">
        <is>
          <t>Incidence of CDI in Patients Receiving Antimicrobial and Acid-Suppressive Therapy</t>
        </is>
      </c>
      <c r="E33" s="16" t="inlineStr"/>
      <c r="F33" s="16" t="inlineStr"/>
      <c r="G33" s="16" t="inlineStr"/>
      <c r="H33" s="16" t="inlineStr"/>
      <c r="I33" s="16" t="inlineStr">
        <is>
          <t>Hospital/acute care</t>
        </is>
      </c>
      <c r="J33" s="16" t="inlineStr">
        <is>
          <t>HA-CDI (healthcare-associated)</t>
        </is>
      </c>
      <c r="K33" s="16" t="inlineStr">
        <is>
          <t>Retrospective cohort</t>
        </is>
      </c>
      <c r="L33" s="16" t="inlineStr"/>
      <c r="M33" s="16" t="inlineStr"/>
      <c r="N33" s="16" t="n">
        <v>101796</v>
      </c>
      <c r="O33" s="16" t="inlineStr"/>
      <c r="P33" s="16" t="inlineStr"/>
      <c r="Q33" s="16" t="inlineStr"/>
      <c r="R33" s="16" t="inlineStr"/>
      <c r="S33" s="16" t="inlineStr"/>
      <c r="T33" s="16" t="inlineStr">
        <is>
          <t>(not detected)</t>
        </is>
      </c>
      <c r="U33" s="16" t="inlineStr"/>
      <c r="V33" s="16" t="inlineStr"/>
      <c r="W33" s="16" t="inlineStr">
        <is>
          <t>No</t>
        </is>
      </c>
      <c r="X33" s="16" t="inlineStr">
        <is>
          <t>other</t>
        </is>
      </c>
      <c r="Y33" s="16" t="inlineStr"/>
      <c r="Z33" s="16" t="inlineStr"/>
      <c r="AA33" s="16" t="inlineStr">
        <is>
          <t>No tetracycline mention detected.</t>
        </is>
      </c>
    </row>
    <row r="34">
      <c r="A34" s="16" t="inlineStr">
        <is>
          <t>S32</t>
        </is>
      </c>
      <c r="B34" s="16" t="inlineStr">
        <is>
          <t>Kuntz</t>
        </is>
      </c>
      <c r="C34" s="16" t="n">
        <v>2011</v>
      </c>
      <c r="D34" s="16" t="inlineStr">
        <is>
          <t>Incidence of and risk factors for CA-CDI: a nested case-control study</t>
        </is>
      </c>
      <c r="E34" s="16" t="inlineStr">
        <is>
          <t>BMC Infect Dis</t>
        </is>
      </c>
      <c r="F34" s="16" t="inlineStr"/>
      <c r="G34" s="16" t="inlineStr"/>
      <c r="H34" s="16" t="inlineStr"/>
      <c r="I34" s="16" t="inlineStr">
        <is>
          <t>Community</t>
        </is>
      </c>
      <c r="J34" s="16" t="inlineStr">
        <is>
          <t>CA-CDI (community-associated)</t>
        </is>
      </c>
      <c r="K34" s="16" t="inlineStr">
        <is>
          <t>Nested case-control</t>
        </is>
      </c>
      <c r="L34" s="16" t="inlineStr"/>
      <c r="M34" s="16" t="inlineStr"/>
      <c r="N34" s="16" t="n">
        <v>304</v>
      </c>
      <c r="O34" s="16" t="inlineStr"/>
      <c r="P34" s="16" t="inlineStr"/>
      <c r="Q34" s="16" t="inlineStr"/>
      <c r="R34" s="16" t="inlineStr"/>
      <c r="S34" s="16" t="inlineStr"/>
      <c r="T34" s="16" t="inlineStr">
        <is>
          <t>Tetracyclines</t>
        </is>
      </c>
      <c r="U34" s="16" t="inlineStr">
        <is>
          <t>Other antibiotics</t>
        </is>
      </c>
      <c r="V34" s="16" t="inlineStr"/>
      <c r="W34" s="16" t="inlineStr">
        <is>
          <t>Yes</t>
        </is>
      </c>
      <c r="X34" s="16" t="inlineStr">
        <is>
          <t>tariq-2018 (carried forward)</t>
        </is>
      </c>
      <c r="Y34" s="16" t="inlineStr"/>
      <c r="Z34" s="16" t="inlineStr"/>
      <c r="AA34" s="16" t="inlineStr">
        <is>
          <t>Tariq anchor; crude 1.43, adjusted 0.94.</t>
        </is>
      </c>
    </row>
    <row r="35">
      <c r="A35" s="16" t="inlineStr">
        <is>
          <t>S33</t>
        </is>
      </c>
      <c r="B35" s="16" t="inlineStr">
        <is>
          <t>Levy</t>
        </is>
      </c>
      <c r="C35" s="16" t="n">
        <v>2000</v>
      </c>
      <c r="D35" s="16" t="inlineStr">
        <is>
          <t>Antibiotics and C. difficile diarrhea in the ambulatory care setting</t>
        </is>
      </c>
      <c r="E35" s="16" t="inlineStr"/>
      <c r="F35" s="16" t="inlineStr"/>
      <c r="G35" s="16" t="inlineStr"/>
      <c r="H35" s="16" t="inlineStr"/>
      <c r="I35" s="16" t="inlineStr">
        <is>
          <t>Community</t>
        </is>
      </c>
      <c r="J35" s="16" t="inlineStr">
        <is>
          <t>CA-CDI (community-associated)</t>
        </is>
      </c>
      <c r="K35" s="16" t="inlineStr">
        <is>
          <t>Retrospective cohort</t>
        </is>
      </c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s="16" t="inlineStr">
        <is>
          <t>Doxycycline; Minocycline; Tetracycline</t>
        </is>
      </c>
      <c r="U35" s="16" t="inlineStr">
        <is>
          <t>Other antibiotics</t>
        </is>
      </c>
      <c r="V35" s="16" t="inlineStr"/>
      <c r="W35" s="16" t="inlineStr">
        <is>
          <t>Unclear</t>
        </is>
      </c>
      <c r="X35" s="16" t="inlineStr">
        <is>
          <t>other</t>
        </is>
      </c>
      <c r="Y35" s="16" t="inlineStr"/>
      <c r="Z35" s="16" t="inlineStr"/>
      <c r="AA35" s="16" t="inlineStr">
        <is>
          <t>Per-antibiotic CDD incidence/counts; no OR vs comparator.</t>
        </is>
      </c>
    </row>
    <row r="36">
      <c r="A36" s="16" t="inlineStr">
        <is>
          <t>S34</t>
        </is>
      </c>
      <c r="B36" s="16" t="inlineStr">
        <is>
          <t>Liu</t>
        </is>
      </c>
      <c r="C36" s="16" t="n">
        <v>2024</v>
      </c>
      <c r="D36" s="16" t="inlineStr">
        <is>
          <t>CDI Risk Following Different Antibiotics: Multi-source insights</t>
        </is>
      </c>
      <c r="E36" s="16" t="inlineStr"/>
      <c r="F36" s="16" t="inlineStr"/>
      <c r="G36" s="16" t="inlineStr"/>
      <c r="H36" s="16" t="inlineStr"/>
      <c r="I36" s="16" t="inlineStr">
        <is>
          <t>Mixed</t>
        </is>
      </c>
      <c r="J36" s="16" t="inlineStr">
        <is>
          <t>Mixed/Both</t>
        </is>
      </c>
      <c r="K36" s="16" t="inlineStr">
        <is>
          <t>Retrospective cohort</t>
        </is>
      </c>
      <c r="L36" s="16" t="inlineStr"/>
      <c r="M36" s="16" t="inlineStr"/>
      <c r="N36" s="16" t="n">
        <v>185930</v>
      </c>
      <c r="O36" s="16" t="inlineStr"/>
      <c r="P36" s="16" t="inlineStr"/>
      <c r="Q36" s="16" t="inlineStr"/>
      <c r="R36" s="16" t="inlineStr"/>
      <c r="S36" s="16" t="inlineStr"/>
      <c r="T36" s="16" t="inlineStr">
        <is>
          <t>Tigecycline</t>
        </is>
      </c>
      <c r="U36" s="16" t="inlineStr">
        <is>
          <t>Other antibiotics</t>
        </is>
      </c>
      <c r="V36" s="16" t="inlineStr"/>
      <c r="W36" s="16" t="inlineStr">
        <is>
          <t>Unclear</t>
        </is>
      </c>
      <c r="X36" s="16" t="inlineStr">
        <is>
          <t>other</t>
        </is>
      </c>
      <c r="Y36" s="16" t="inlineStr"/>
      <c r="Z36" s="16" t="inlineStr"/>
      <c r="AA36" s="16" t="inlineStr">
        <is>
          <t>Tigecycline OR 0.10 (protective, CI incomplete); tetracycline class not separately estimable.</t>
        </is>
      </c>
    </row>
    <row r="37">
      <c r="A37" s="16" t="inlineStr">
        <is>
          <t>S35</t>
        </is>
      </c>
      <c r="B37" s="16" t="inlineStr">
        <is>
          <t>Manges</t>
        </is>
      </c>
      <c r="C37" s="16" t="n">
        <v>2010</v>
      </c>
      <c r="D37" s="16" t="inlineStr">
        <is>
          <t>Comparative metagenomic study and risk of nosocomial CDI</t>
        </is>
      </c>
      <c r="E37" s="16" t="inlineStr"/>
      <c r="F37" s="16" t="inlineStr"/>
      <c r="G37" s="16" t="inlineStr"/>
      <c r="H37" s="16" t="inlineStr"/>
      <c r="I37" s="16" t="inlineStr">
        <is>
          <t>Hospital/acute care</t>
        </is>
      </c>
      <c r="J37" s="16" t="inlineStr">
        <is>
          <t>HA-CDI (healthcare-associated)</t>
        </is>
      </c>
      <c r="K37" s="16" t="inlineStr">
        <is>
          <t>Nested case-control</t>
        </is>
      </c>
      <c r="L37" s="16" t="inlineStr"/>
      <c r="M37" s="16" t="inlineStr"/>
      <c r="N37" s="16" t="n">
        <v>1461</v>
      </c>
      <c r="O37" s="16" t="inlineStr"/>
      <c r="P37" s="16" t="inlineStr"/>
      <c r="Q37" s="16" t="inlineStr"/>
      <c r="R37" s="16" t="inlineStr"/>
      <c r="S37" s="16" t="inlineStr"/>
      <c r="T37" s="16" t="inlineStr">
        <is>
          <t>Tetracyclines</t>
        </is>
      </c>
      <c r="U37" s="16" t="inlineStr">
        <is>
          <t>Other antibiotics</t>
        </is>
      </c>
      <c r="V37" s="16" t="inlineStr"/>
      <c r="W37" s="16" t="inlineStr">
        <is>
          <t>No</t>
        </is>
      </c>
      <c r="X37" s="16" t="inlineStr">
        <is>
          <t>other</t>
        </is>
      </c>
      <c r="Y37" s="16" t="inlineStr"/>
      <c r="Z37" s="16" t="inlineStr"/>
      <c r="AA37" s="16" t="inlineStr">
        <is>
          <t>Zero tetracycline exposure in both groups (0 vs 0); not usable.</t>
        </is>
      </c>
    </row>
    <row r="38">
      <c r="A38" s="16" t="inlineStr">
        <is>
          <t>S36</t>
        </is>
      </c>
      <c r="B38" s="16" t="inlineStr">
        <is>
          <t>Miller</t>
        </is>
      </c>
      <c r="C38" s="16" t="n">
        <v>2020</v>
      </c>
      <c r="D38" s="16" t="inlineStr">
        <is>
          <t>Risk for CDI among hospitalized patients with multiple antibiotics</t>
        </is>
      </c>
      <c r="E38" s="16" t="inlineStr"/>
      <c r="F38" s="16" t="inlineStr"/>
      <c r="G38" s="16" t="inlineStr"/>
      <c r="H38" s="16" t="inlineStr"/>
      <c r="I38" s="16" t="inlineStr">
        <is>
          <t>Hospital/acute care</t>
        </is>
      </c>
      <c r="J38" s="16" t="inlineStr">
        <is>
          <t>Mixed/Both</t>
        </is>
      </c>
      <c r="K38" s="16" t="inlineStr">
        <is>
          <t>Case-control</t>
        </is>
      </c>
      <c r="L38" s="16" t="inlineStr"/>
      <c r="M38" s="16" t="inlineStr"/>
      <c r="N38" s="16" t="inlineStr"/>
      <c r="O38" s="16" t="inlineStr"/>
      <c r="P38" s="16" t="inlineStr"/>
      <c r="Q38" s="16" t="inlineStr"/>
      <c r="R38" s="16" t="inlineStr"/>
      <c r="S38" s="16" t="inlineStr"/>
      <c r="T38" s="16" t="inlineStr">
        <is>
          <t>(not detected)</t>
        </is>
      </c>
      <c r="U38" s="16" t="inlineStr"/>
      <c r="V38" s="16" t="inlineStr"/>
      <c r="W38" s="16" t="inlineStr">
        <is>
          <t>No</t>
        </is>
      </c>
      <c r="X38" s="16" t="inlineStr">
        <is>
          <t>other</t>
        </is>
      </c>
      <c r="Y38" s="16" t="inlineStr"/>
      <c r="Z38" s="16" t="inlineStr"/>
      <c r="AA38" s="16" t="inlineStr">
        <is>
          <t>No tetracycline line detected.</t>
        </is>
      </c>
    </row>
    <row r="39">
      <c r="A39" s="16" t="inlineStr">
        <is>
          <t>S37</t>
        </is>
      </c>
      <c r="B39" s="16" t="inlineStr">
        <is>
          <t>Miller</t>
        </is>
      </c>
      <c r="C39" s="16" t="n">
        <v>2023</v>
      </c>
      <c r="D39" s="16" t="inlineStr">
        <is>
          <t>Comparison of Different Antibiotics and Risk for CA-CDI</t>
        </is>
      </c>
      <c r="E39" s="16" t="inlineStr"/>
      <c r="F39" s="16" t="inlineStr"/>
      <c r="G39" s="16" t="inlineStr"/>
      <c r="H39" s="16" t="inlineStr"/>
      <c r="I39" s="16" t="inlineStr">
        <is>
          <t>Community</t>
        </is>
      </c>
      <c r="J39" s="16" t="inlineStr">
        <is>
          <t>CA-CDI (community-associated)</t>
        </is>
      </c>
      <c r="K39" s="16" t="inlineStr">
        <is>
          <t>Retrospective cohort</t>
        </is>
      </c>
      <c r="L39" s="16" t="inlineStr"/>
      <c r="M39" s="16" t="inlineStr"/>
      <c r="N39" s="16" t="n">
        <v>905</v>
      </c>
      <c r="O39" s="16" t="inlineStr"/>
      <c r="P39" s="16" t="inlineStr"/>
      <c r="Q39" s="16" t="inlineStr"/>
      <c r="R39" s="16" t="inlineStr"/>
      <c r="S39" s="16" t="inlineStr"/>
      <c r="T39" s="16" t="inlineStr">
        <is>
          <t>Doxycycline; Minocycline; Tetracycline</t>
        </is>
      </c>
      <c r="U39" s="16" t="inlineStr">
        <is>
          <t>Other antibiotics</t>
        </is>
      </c>
      <c r="V39" s="16" t="inlineStr"/>
      <c r="W39" s="16" t="inlineStr">
        <is>
          <t>Yes</t>
        </is>
      </c>
      <c r="X39" s="16" t="inlineStr">
        <is>
          <t>other</t>
        </is>
      </c>
      <c r="Y39" s="16" t="inlineStr"/>
      <c r="Z39" s="16" t="inlineStr"/>
      <c r="AA39" s="16" t="inlineStr">
        <is>
          <t>Per-agent aORs (doxy 0.96, mino 0.79, tetracycline 1.21).</t>
        </is>
      </c>
    </row>
    <row r="40">
      <c r="A40" s="16" t="inlineStr">
        <is>
          <t>S38</t>
        </is>
      </c>
      <c r="B40" s="16" t="inlineStr">
        <is>
          <t>Minson</t>
        </is>
      </c>
      <c r="C40" s="16" t="n">
        <v>2007</v>
      </c>
      <c r="D40" s="16" t="inlineStr">
        <is>
          <t>Relationship between Antibiotic Exposure and Subsequent CDAD</t>
        </is>
      </c>
      <c r="E40" s="16" t="inlineStr"/>
      <c r="F40" s="16" t="inlineStr"/>
      <c r="G40" s="16" t="inlineStr"/>
      <c r="H40" s="16" t="inlineStr"/>
      <c r="I40" s="16" t="inlineStr">
        <is>
          <t>Hospital/acute care</t>
        </is>
      </c>
      <c r="J40" s="16" t="inlineStr">
        <is>
          <t>HA-CDI (healthcare-associated)</t>
        </is>
      </c>
      <c r="K40" s="16" t="inlineStr">
        <is>
          <t>Case-control</t>
        </is>
      </c>
      <c r="L40" s="16" t="inlineStr"/>
      <c r="M40" s="16" t="inlineStr"/>
      <c r="N40" s="16" t="inlineStr"/>
      <c r="O40" s="16" t="inlineStr"/>
      <c r="P40" s="16" t="inlineStr"/>
      <c r="Q40" s="16" t="inlineStr"/>
      <c r="R40" s="16" t="inlineStr"/>
      <c r="S40" s="16" t="inlineStr"/>
      <c r="T40" s="16" t="inlineStr">
        <is>
          <t>(not detected)</t>
        </is>
      </c>
      <c r="U40" s="16" t="inlineStr"/>
      <c r="V40" s="16" t="inlineStr"/>
      <c r="W40" s="16" t="inlineStr">
        <is>
          <t>No</t>
        </is>
      </c>
      <c r="X40" s="16" t="inlineStr">
        <is>
          <t>other</t>
        </is>
      </c>
      <c r="Y40" s="16" t="inlineStr"/>
      <c r="Z40" s="16" t="inlineStr"/>
      <c r="AA40" s="16" t="inlineStr">
        <is>
          <t>No tetracycline mention detected.</t>
        </is>
      </c>
    </row>
    <row r="41">
      <c r="A41" s="16" t="inlineStr">
        <is>
          <t>S39</t>
        </is>
      </c>
      <c r="B41" s="16" t="inlineStr">
        <is>
          <t>Moreels</t>
        </is>
      </c>
      <c r="C41" s="16" t="n">
        <v>2024</v>
      </c>
      <c r="D41" s="16" t="inlineStr">
        <is>
          <t>Combined effect of systemic antibiotics and PPIs on CDI</t>
        </is>
      </c>
      <c r="E41" s="16" t="inlineStr"/>
      <c r="F41" s="16" t="inlineStr"/>
      <c r="G41" s="16" t="inlineStr"/>
      <c r="H41" s="16" t="inlineStr"/>
      <c r="I41" s="16" t="inlineStr">
        <is>
          <t>Hospital/acute care</t>
        </is>
      </c>
      <c r="J41" s="16" t="inlineStr">
        <is>
          <t>HA-CDI (healthcare-associated)</t>
        </is>
      </c>
      <c r="K41" s="16" t="inlineStr">
        <is>
          <t>Retrospective cohort</t>
        </is>
      </c>
      <c r="L41" s="16" t="inlineStr"/>
      <c r="M41" s="16" t="inlineStr"/>
      <c r="N41" s="16" t="inlineStr"/>
      <c r="O41" s="16" t="inlineStr"/>
      <c r="P41" s="16" t="inlineStr"/>
      <c r="Q41" s="16" t="inlineStr"/>
      <c r="R41" s="16" t="inlineStr"/>
      <c r="S41" s="16" t="inlineStr"/>
      <c r="T41" s="16" t="inlineStr">
        <is>
          <t>(not detected)</t>
        </is>
      </c>
      <c r="U41" s="16" t="inlineStr"/>
      <c r="V41" s="16" t="inlineStr"/>
      <c r="W41" s="16" t="inlineStr">
        <is>
          <t>No</t>
        </is>
      </c>
      <c r="X41" s="16" t="inlineStr">
        <is>
          <t>other</t>
        </is>
      </c>
      <c r="Y41" s="16" t="inlineStr"/>
      <c r="Z41" s="16" t="inlineStr"/>
      <c r="AA41" s="16" t="inlineStr">
        <is>
          <t>No separable tetracycline estimate detected.</t>
        </is>
      </c>
    </row>
    <row r="42">
      <c r="A42" s="16" t="inlineStr">
        <is>
          <t>S40</t>
        </is>
      </c>
      <c r="B42" s="16" t="inlineStr">
        <is>
          <t>O'Leary</t>
        </is>
      </c>
      <c r="C42" s="16" t="n">
        <v>2023</v>
      </c>
      <c r="D42" s="16" t="inlineStr">
        <is>
          <t>Impact of doxycycline on CDI in hospitalized community-acquired pneumonia</t>
        </is>
      </c>
      <c r="E42" s="16" t="inlineStr"/>
      <c r="F42" s="16" t="inlineStr"/>
      <c r="G42" s="16" t="inlineStr"/>
      <c r="H42" s="16" t="inlineStr"/>
      <c r="I42" s="16" t="inlineStr">
        <is>
          <t>Mixed</t>
        </is>
      </c>
      <c r="J42" s="16" t="inlineStr">
        <is>
          <t>Mixed/Both</t>
        </is>
      </c>
      <c r="K42" s="16" t="inlineStr">
        <is>
          <t>Retrospective cohort</t>
        </is>
      </c>
      <c r="L42" s="16" t="inlineStr"/>
      <c r="M42" s="16" t="inlineStr"/>
      <c r="N42" s="16" t="n">
        <v>155043</v>
      </c>
      <c r="O42" s="16" t="inlineStr"/>
      <c r="P42" s="16" t="inlineStr"/>
      <c r="Q42" s="16" t="inlineStr"/>
      <c r="R42" s="16" t="inlineStr"/>
      <c r="S42" s="16" t="inlineStr"/>
      <c r="T42" s="16" t="inlineStr">
        <is>
          <t>Doxycycline</t>
        </is>
      </c>
      <c r="U42" s="16" t="inlineStr">
        <is>
          <t>Azithromycin</t>
        </is>
      </c>
      <c r="V42" s="16" t="inlineStr"/>
      <c r="W42" s="16" t="inlineStr">
        <is>
          <t>Yes</t>
        </is>
      </c>
      <c r="X42" s="16" t="inlineStr">
        <is>
          <t>other</t>
        </is>
      </c>
      <c r="Y42" s="16" t="inlineStr"/>
      <c r="Z42" s="16" t="inlineStr"/>
      <c r="AA42" s="16" t="inlineStr">
        <is>
          <t>Doxycycline vs azithromycin; multiple models.</t>
        </is>
      </c>
    </row>
    <row r="43">
      <c r="A43" s="16" t="inlineStr">
        <is>
          <t>S41</t>
        </is>
      </c>
      <c r="B43" s="16" t="inlineStr">
        <is>
          <t>Pappas</t>
        </is>
      </c>
      <c r="C43" s="16" t="n">
        <v>2025</v>
      </c>
      <c r="D43" s="16" t="inlineStr">
        <is>
          <t>Impact of empiric antibiotics on risk of CDI: causal inference</t>
        </is>
      </c>
      <c r="E43" s="16" t="inlineStr"/>
      <c r="F43" s="16" t="inlineStr"/>
      <c r="G43" s="16" t="inlineStr"/>
      <c r="H43" s="16" t="inlineStr"/>
      <c r="I43" s="16" t="inlineStr">
        <is>
          <t>Hospital/acute care</t>
        </is>
      </c>
      <c r="J43" s="16" t="inlineStr">
        <is>
          <t>HA-CDI (healthcare-associated)</t>
        </is>
      </c>
      <c r="K43" s="16" t="inlineStr">
        <is>
          <t>Retrospective cohort</t>
        </is>
      </c>
      <c r="L43" s="16" t="inlineStr"/>
      <c r="M43" s="16" t="inlineStr"/>
      <c r="N43" s="16" t="n">
        <v>922187</v>
      </c>
      <c r="O43" s="16" t="inlineStr"/>
      <c r="P43" s="16" t="inlineStr"/>
      <c r="Q43" s="16" t="inlineStr"/>
      <c r="R43" s="16" t="inlineStr"/>
      <c r="S43" s="16" t="inlineStr"/>
      <c r="T43" s="16" t="inlineStr">
        <is>
          <t>(not detected)</t>
        </is>
      </c>
      <c r="U43" s="16" t="inlineStr"/>
      <c r="V43" s="16" t="inlineStr"/>
      <c r="W43" s="16" t="inlineStr">
        <is>
          <t>No</t>
        </is>
      </c>
      <c r="X43" s="16" t="inlineStr">
        <is>
          <t>other</t>
        </is>
      </c>
      <c r="Y43" s="16" t="inlineStr"/>
      <c r="Z43" s="16" t="inlineStr"/>
      <c r="AA43" s="16" t="inlineStr">
        <is>
          <t>Empiric-antibiotic groups; no separable tetracycline estimate.</t>
        </is>
      </c>
    </row>
    <row r="44">
      <c r="A44" s="16" t="inlineStr">
        <is>
          <t>S42</t>
        </is>
      </c>
      <c r="B44" s="16" t="inlineStr">
        <is>
          <t>Predrag</t>
        </is>
      </c>
      <c r="C44" s="16" t="n">
        <v>2016</v>
      </c>
      <c r="D44" s="16" t="inlineStr">
        <is>
          <t>Analysis of risk factors and clinical manifestations of CDI</t>
        </is>
      </c>
      <c r="E44" s="16" t="inlineStr"/>
      <c r="F44" s="16" t="inlineStr"/>
      <c r="G44" s="16" t="inlineStr"/>
      <c r="H44" s="16" t="inlineStr"/>
      <c r="I44" s="16" t="inlineStr">
        <is>
          <t>Hospital/acute care</t>
        </is>
      </c>
      <c r="J44" s="16" t="inlineStr">
        <is>
          <t>HA-CDI (healthcare-associated)</t>
        </is>
      </c>
      <c r="K44" s="16" t="inlineStr">
        <is>
          <t>Case-control</t>
        </is>
      </c>
      <c r="L44" s="16" t="inlineStr"/>
      <c r="M44" s="16" t="inlineStr"/>
      <c r="N44" s="16" t="inlineStr"/>
      <c r="O44" s="16" t="inlineStr"/>
      <c r="P44" s="16" t="inlineStr"/>
      <c r="Q44" s="16" t="inlineStr"/>
      <c r="R44" s="16" t="inlineStr"/>
      <c r="S44" s="16" t="inlineStr"/>
      <c r="T44" s="16" t="inlineStr">
        <is>
          <t>Tetracyclines</t>
        </is>
      </c>
      <c r="U44" s="16" t="inlineStr">
        <is>
          <t>Other antibiotics</t>
        </is>
      </c>
      <c r="V44" s="16" t="inlineStr"/>
      <c r="W44" s="16" t="inlineStr">
        <is>
          <t>Unclear</t>
        </is>
      </c>
      <c r="X44" s="16" t="inlineStr">
        <is>
          <t>other</t>
        </is>
      </c>
      <c r="Y44" s="16" t="inlineStr"/>
      <c r="Z44" s="16" t="inlineStr"/>
      <c r="AA44" s="16" t="inlineStr">
        <is>
          <t>Small crude counts (p=0.54).</t>
        </is>
      </c>
    </row>
    <row r="45">
      <c r="A45" s="16" t="inlineStr">
        <is>
          <t>S43</t>
        </is>
      </c>
      <c r="B45" s="16" t="inlineStr">
        <is>
          <t>Pépin</t>
        </is>
      </c>
      <c r="C45" s="16" t="n">
        <v>2005</v>
      </c>
      <c r="D45" s="16" t="inlineStr">
        <is>
          <t>Emergence of fluoroquinolones as predominant risk factor for CDAD</t>
        </is>
      </c>
      <c r="E45" s="16" t="inlineStr">
        <is>
          <t>Clin Infect Dis</t>
        </is>
      </c>
      <c r="F45" s="16" t="inlineStr"/>
      <c r="G45" s="16" t="inlineStr"/>
      <c r="H45" s="16" t="inlineStr"/>
      <c r="I45" s="16" t="inlineStr">
        <is>
          <t>Hospital/acute care</t>
        </is>
      </c>
      <c r="J45" s="16" t="inlineStr">
        <is>
          <t>HA-CDI (healthcare-associated)</t>
        </is>
      </c>
      <c r="K45" s="16" t="inlineStr">
        <is>
          <t>Retrospective cohort</t>
        </is>
      </c>
      <c r="L45" s="16" t="inlineStr"/>
      <c r="M45" s="16" t="inlineStr"/>
      <c r="N45" s="16" t="n">
        <v>293</v>
      </c>
      <c r="O45" s="16" t="inlineStr"/>
      <c r="P45" s="16" t="inlineStr"/>
      <c r="Q45" s="16" t="inlineStr"/>
      <c r="R45" s="16" t="inlineStr"/>
      <c r="S45" s="16" t="inlineStr"/>
      <c r="T45" s="16" t="inlineStr">
        <is>
          <t>Tetracyclines</t>
        </is>
      </c>
      <c r="U45" s="16" t="inlineStr">
        <is>
          <t>Unexposed / other</t>
        </is>
      </c>
      <c r="V45" s="16" t="inlineStr"/>
      <c r="W45" s="16" t="inlineStr">
        <is>
          <t>Unclear</t>
        </is>
      </c>
      <c r="X45" s="16" t="inlineStr">
        <is>
          <t>tariq-2018 (carried forward)</t>
        </is>
      </c>
      <c r="Y45" s="16" t="inlineStr"/>
      <c r="Z45" s="16" t="inlineStr"/>
      <c r="AA45" s="16" t="inlineStr">
        <is>
          <t>Tariq anchor; tetracycline estimate in source tables, NOT extractable from PDF text.</t>
        </is>
      </c>
    </row>
    <row r="46">
      <c r="A46" s="16" t="inlineStr">
        <is>
          <t>S44</t>
        </is>
      </c>
      <c r="B46" s="16" t="inlineStr">
        <is>
          <t>Reeves</t>
        </is>
      </c>
      <c r="C46" s="16" t="n">
        <v>2024</v>
      </c>
      <c r="D46" s="16" t="inlineStr">
        <is>
          <t>Comparison of Empiric Antibiotic Regimens for Hospitalized Non-severe CAP</t>
        </is>
      </c>
      <c r="E46" s="16" t="inlineStr"/>
      <c r="F46" s="16" t="inlineStr"/>
      <c r="G46" s="16" t="inlineStr"/>
      <c r="H46" s="16" t="inlineStr"/>
      <c r="I46" s="16" t="inlineStr">
        <is>
          <t>Community</t>
        </is>
      </c>
      <c r="J46" s="16" t="inlineStr">
        <is>
          <t>CA-CDI (community-associated)</t>
        </is>
      </c>
      <c r="K46" s="16" t="inlineStr">
        <is>
          <t>Retrospective cohort</t>
        </is>
      </c>
      <c r="L46" s="16" t="inlineStr"/>
      <c r="M46" s="16" t="inlineStr"/>
      <c r="N46" s="16" t="n">
        <v>6848</v>
      </c>
      <c r="O46" s="16" t="inlineStr"/>
      <c r="P46" s="16" t="inlineStr"/>
      <c r="Q46" s="16" t="inlineStr"/>
      <c r="R46" s="16" t="inlineStr"/>
      <c r="S46" s="16" t="inlineStr"/>
      <c r="T46" s="16" t="inlineStr">
        <is>
          <t>Doxycycline (+ beta-lactam)</t>
        </is>
      </c>
      <c r="U46" s="16" t="inlineStr">
        <is>
          <t>Beta-lactam+macrolide / other</t>
        </is>
      </c>
      <c r="V46" s="16" t="inlineStr"/>
      <c r="W46" s="16" t="inlineStr">
        <is>
          <t>Yes</t>
        </is>
      </c>
      <c r="X46" s="16" t="inlineStr">
        <is>
          <t>other</t>
        </is>
      </c>
      <c r="Y46" s="16" t="inlineStr"/>
      <c r="Z46" s="16" t="inlineStr"/>
      <c r="AA46" s="16" t="inlineStr">
        <is>
          <t>Combination regimen; CDI outcome; aOR 0.85.</t>
        </is>
      </c>
    </row>
    <row r="47">
      <c r="A47" s="16" t="inlineStr">
        <is>
          <t>S45</t>
        </is>
      </c>
      <c r="B47" s="16" t="inlineStr">
        <is>
          <t>Saito</t>
        </is>
      </c>
      <c r="C47" s="16" t="n">
        <v>2025</v>
      </c>
      <c r="D47" s="16" t="inlineStr">
        <is>
          <t>Antimicrobial Combinations as Novel Indicators for CDI development</t>
        </is>
      </c>
      <c r="E47" s="16" t="inlineStr">
        <is>
          <t>J Infect Chemother</t>
        </is>
      </c>
      <c r="F47" s="16" t="inlineStr"/>
      <c r="G47" s="16" t="inlineStr"/>
      <c r="H47" s="16" t="inlineStr"/>
      <c r="I47" s="16" t="inlineStr">
        <is>
          <t>Mixed</t>
        </is>
      </c>
      <c r="J47" s="16" t="inlineStr">
        <is>
          <t>Mixed/Both</t>
        </is>
      </c>
      <c r="K47" s="16" t="inlineStr">
        <is>
          <t>Nested case-control</t>
        </is>
      </c>
      <c r="L47" s="16" t="inlineStr"/>
      <c r="M47" s="16" t="inlineStr"/>
      <c r="N47" s="16" t="n">
        <v>19668</v>
      </c>
      <c r="O47" s="16" t="inlineStr"/>
      <c r="P47" s="16" t="inlineStr"/>
      <c r="Q47" s="16" t="inlineStr"/>
      <c r="R47" s="16" t="inlineStr"/>
      <c r="S47" s="16" t="inlineStr"/>
      <c r="T47" s="16" t="inlineStr">
        <is>
          <t>Tetracyclines</t>
        </is>
      </c>
      <c r="U47" s="16" t="inlineStr">
        <is>
          <t>Reference category</t>
        </is>
      </c>
      <c r="V47" s="16" t="inlineStr"/>
      <c r="W47" s="16" t="inlineStr">
        <is>
          <t>Yes</t>
        </is>
      </c>
      <c r="X47" s="16" t="inlineStr">
        <is>
          <t>new-include (fulltext_107)</t>
        </is>
      </c>
      <c r="Y47" s="16" t="inlineStr"/>
      <c r="Z47" s="16" t="inlineStr"/>
      <c r="AA47" s="16" t="inlineStr">
        <is>
          <t>Nested case-control.</t>
        </is>
      </c>
    </row>
    <row r="48">
      <c r="A48" s="16" t="inlineStr">
        <is>
          <t>S46</t>
        </is>
      </c>
      <c r="B48" s="16" t="inlineStr">
        <is>
          <t>Shah</t>
        </is>
      </c>
      <c r="C48" s="16" t="n">
        <v>2012</v>
      </c>
      <c r="D48" s="16" t="inlineStr">
        <is>
          <t>Evaluating contemporary antibiotics as a risk factor for CDI in surgical patients</t>
        </is>
      </c>
      <c r="E48" s="16" t="inlineStr"/>
      <c r="F48" s="16" t="inlineStr"/>
      <c r="G48" s="16" t="inlineStr"/>
      <c r="H48" s="16" t="inlineStr"/>
      <c r="I48" s="16" t="inlineStr">
        <is>
          <t>Hospital/acute care</t>
        </is>
      </c>
      <c r="J48" s="16" t="inlineStr">
        <is>
          <t>HA-CDI (healthcare-associated)</t>
        </is>
      </c>
      <c r="K48" s="16" t="inlineStr">
        <is>
          <t>Case-control</t>
        </is>
      </c>
      <c r="L48" s="16" t="inlineStr"/>
      <c r="M48" s="16" t="inlineStr"/>
      <c r="N48" s="16" t="n">
        <v>3480</v>
      </c>
      <c r="O48" s="16" t="inlineStr"/>
      <c r="P48" s="16" t="inlineStr"/>
      <c r="Q48" s="16" t="inlineStr"/>
      <c r="R48" s="16" t="inlineStr"/>
      <c r="S48" s="16" t="inlineStr"/>
      <c r="T48" s="16" t="inlineStr">
        <is>
          <t>(not detected)</t>
        </is>
      </c>
      <c r="U48" s="16" t="inlineStr"/>
      <c r="V48" s="16" t="inlineStr"/>
      <c r="W48" s="16" t="inlineStr">
        <is>
          <t>No</t>
        </is>
      </c>
      <c r="X48" s="16" t="inlineStr">
        <is>
          <t>other</t>
        </is>
      </c>
      <c r="Y48" s="16" t="inlineStr"/>
      <c r="Z48" s="16" t="inlineStr"/>
      <c r="AA48" s="16" t="inlineStr">
        <is>
          <t>No tetracycline mention detected.</t>
        </is>
      </c>
    </row>
    <row r="49">
      <c r="A49" s="16" t="inlineStr">
        <is>
          <t>S47</t>
        </is>
      </c>
      <c r="B49" s="16" t="inlineStr">
        <is>
          <t>Stevens</t>
        </is>
      </c>
      <c r="C49" s="16" t="n">
        <v>2011</v>
      </c>
      <c r="D49" s="16" t="inlineStr">
        <is>
          <t>Differential risk of CDI with PPI use by level of antibiotic exposure</t>
        </is>
      </c>
      <c r="E49" s="16" t="inlineStr"/>
      <c r="F49" s="16" t="inlineStr"/>
      <c r="G49" s="16" t="inlineStr"/>
      <c r="H49" s="16" t="inlineStr"/>
      <c r="I49" s="16" t="inlineStr">
        <is>
          <t>Hospital/acute care</t>
        </is>
      </c>
      <c r="J49" s="16" t="inlineStr">
        <is>
          <t>HA-CDI (healthcare-associated)</t>
        </is>
      </c>
      <c r="K49" s="16" t="inlineStr">
        <is>
          <t>Retrospective cohort</t>
        </is>
      </c>
      <c r="L49" s="16" t="inlineStr"/>
      <c r="M49" s="16" t="inlineStr"/>
      <c r="N49" s="16" t="n">
        <v>10154</v>
      </c>
      <c r="O49" s="16" t="inlineStr"/>
      <c r="P49" s="16" t="inlineStr"/>
      <c r="Q49" s="16" t="inlineStr"/>
      <c r="R49" s="16" t="inlineStr"/>
      <c r="S49" s="16" t="inlineStr"/>
      <c r="T49" s="16" t="inlineStr">
        <is>
          <t>(not detected)</t>
        </is>
      </c>
      <c r="U49" s="16" t="inlineStr"/>
      <c r="V49" s="16" t="inlineStr"/>
      <c r="W49" s="16" t="inlineStr">
        <is>
          <t>No</t>
        </is>
      </c>
      <c r="X49" s="16" t="inlineStr">
        <is>
          <t>other</t>
        </is>
      </c>
      <c r="Y49" s="16" t="inlineStr"/>
      <c r="Z49" s="16" t="inlineStr"/>
      <c r="AA49" s="16" t="inlineStr">
        <is>
          <t>PPI-focused; no separable tetracycline estimate.</t>
        </is>
      </c>
    </row>
    <row r="50">
      <c r="A50" s="16" t="inlineStr">
        <is>
          <t>S48</t>
        </is>
      </c>
      <c r="B50" s="16" t="inlineStr">
        <is>
          <t>Stevens</t>
        </is>
      </c>
      <c r="C50" s="16" t="n">
        <v>2018</v>
      </c>
      <c r="D50" s="16" t="inlineStr">
        <is>
          <t>485. On- and Post-Antibiotic Effects on Risk of HA-CDI (abstract)</t>
        </is>
      </c>
      <c r="E50" s="16" t="inlineStr"/>
      <c r="F50" s="16" t="inlineStr"/>
      <c r="G50" s="16" t="inlineStr"/>
      <c r="H50" s="16" t="inlineStr"/>
      <c r="I50" s="16" t="inlineStr">
        <is>
          <t>Hospital/acute care</t>
        </is>
      </c>
      <c r="J50" s="16" t="inlineStr">
        <is>
          <t>HA-CDI (healthcare-associated)</t>
        </is>
      </c>
      <c r="K50" s="16" t="inlineStr">
        <is>
          <t>Retrospective cohort</t>
        </is>
      </c>
      <c r="L50" s="16" t="inlineStr"/>
      <c r="M50" s="16" t="inlineStr"/>
      <c r="N50" s="16" t="n">
        <v>2823</v>
      </c>
      <c r="O50" s="16" t="inlineStr"/>
      <c r="P50" s="16" t="inlineStr"/>
      <c r="Q50" s="16" t="inlineStr"/>
      <c r="R50" s="16" t="inlineStr"/>
      <c r="S50" s="16" t="inlineStr"/>
      <c r="T50" s="16" t="inlineStr">
        <is>
          <t>(not detected)</t>
        </is>
      </c>
      <c r="U50" s="16" t="inlineStr"/>
      <c r="V50" s="16" t="inlineStr"/>
      <c r="W50" s="16" t="inlineStr">
        <is>
          <t>No</t>
        </is>
      </c>
      <c r="X50" s="16" t="inlineStr">
        <is>
          <t>other</t>
        </is>
      </c>
      <c r="Y50" s="16" t="inlineStr"/>
      <c r="Z50" s="16" t="inlineStr"/>
      <c r="AA50" s="16" t="inlineStr">
        <is>
          <t>Conference abstract; no tetracycline estimate detected.</t>
        </is>
      </c>
    </row>
    <row r="51">
      <c r="A51" s="16" t="inlineStr">
        <is>
          <t>S49</t>
        </is>
      </c>
      <c r="B51" s="16" t="inlineStr">
        <is>
          <t>Stojanović</t>
        </is>
      </c>
      <c r="C51" s="16" t="n">
        <v>2022</v>
      </c>
      <c r="D51" s="16" t="inlineStr">
        <is>
          <t>Community-onset CDI in south Serbia</t>
        </is>
      </c>
      <c r="E51" s="16" t="inlineStr"/>
      <c r="F51" s="16" t="inlineStr"/>
      <c r="G51" s="16" t="inlineStr"/>
      <c r="H51" s="16" t="inlineStr"/>
      <c r="I51" s="16" t="inlineStr">
        <is>
          <t>Community</t>
        </is>
      </c>
      <c r="J51" s="16" t="inlineStr">
        <is>
          <t>CA-CDI (community-associated)</t>
        </is>
      </c>
      <c r="K51" s="16" t="inlineStr">
        <is>
          <t>Case-control</t>
        </is>
      </c>
      <c r="L51" s="16" t="inlineStr"/>
      <c r="M51" s="16" t="inlineStr"/>
      <c r="N51" s="16" t="inlineStr"/>
      <c r="O51" s="16" t="inlineStr"/>
      <c r="P51" s="16" t="inlineStr"/>
      <c r="Q51" s="16" t="inlineStr"/>
      <c r="R51" s="16" t="inlineStr"/>
      <c r="S51" s="16" t="inlineStr"/>
      <c r="T51" s="16" t="inlineStr">
        <is>
          <t>Tetracyclines</t>
        </is>
      </c>
      <c r="U51" s="16" t="inlineStr">
        <is>
          <t>Other antibiotics</t>
        </is>
      </c>
      <c r="V51" s="16" t="inlineStr"/>
      <c r="W51" s="16" t="inlineStr">
        <is>
          <t>Unclear</t>
        </is>
      </c>
      <c r="X51" s="16" t="inlineStr">
        <is>
          <t>other</t>
        </is>
      </c>
      <c r="Y51" s="16" t="inlineStr"/>
      <c r="Z51" s="16" t="inlineStr"/>
      <c r="AA51" s="16" t="inlineStr">
        <is>
          <t>Univariable OR 6.42 (2.19-14.95); a reported 'multivariable 0.146' looks like a table-parsing artifact - VERIFY.</t>
        </is>
      </c>
    </row>
    <row r="52">
      <c r="A52" s="16" t="inlineStr">
        <is>
          <t>S50</t>
        </is>
      </c>
      <c r="B52" s="16" t="inlineStr">
        <is>
          <t>Ström</t>
        </is>
      </c>
      <c r="C52" s="16" t="n">
        <v>2017</v>
      </c>
      <c r="D52" s="16" t="inlineStr">
        <is>
          <t>Association between GABA-modulators and CDI: matched case-control</t>
        </is>
      </c>
      <c r="E52" s="16" t="inlineStr">
        <is>
          <t>PLoS ONE</t>
        </is>
      </c>
      <c r="F52" s="16" t="inlineStr"/>
      <c r="G52" s="16" t="inlineStr"/>
      <c r="H52" s="16" t="inlineStr"/>
      <c r="I52" s="16" t="inlineStr">
        <is>
          <t>Hospital/acute care</t>
        </is>
      </c>
      <c r="J52" s="16" t="inlineStr">
        <is>
          <t>Mixed/Both</t>
        </is>
      </c>
      <c r="K52" s="16" t="inlineStr">
        <is>
          <t>Matched case-control</t>
        </is>
      </c>
      <c r="L52" s="16" t="inlineStr"/>
      <c r="M52" s="16" t="inlineStr"/>
      <c r="N52" s="16" t="n">
        <v>473</v>
      </c>
      <c r="O52" s="16" t="inlineStr"/>
      <c r="P52" s="16" t="inlineStr"/>
      <c r="Q52" s="16" t="inlineStr"/>
      <c r="R52" s="16" t="inlineStr"/>
      <c r="S52" s="16" t="inlineStr"/>
      <c r="T52" s="16" t="inlineStr">
        <is>
          <t>Tetracycline</t>
        </is>
      </c>
      <c r="U52" s="16" t="inlineStr">
        <is>
          <t>Penicillin-only reference</t>
        </is>
      </c>
      <c r="V52" s="16" t="inlineStr"/>
      <c r="W52" s="16" t="inlineStr">
        <is>
          <t>Yes</t>
        </is>
      </c>
      <c r="X52" s="16" t="inlineStr">
        <is>
          <t>new-include (fulltext_107)</t>
        </is>
      </c>
      <c r="Y52" s="16" t="inlineStr"/>
      <c r="Z52" s="16" t="inlineStr"/>
      <c r="AA52" s="16" t="inlineStr">
        <is>
          <t>Matched case-control.</t>
        </is>
      </c>
    </row>
    <row r="53">
      <c r="A53" s="16" t="inlineStr">
        <is>
          <t>S51</t>
        </is>
      </c>
      <c r="B53" s="16" t="inlineStr">
        <is>
          <t>Tartof</t>
        </is>
      </c>
      <c r="C53" s="16" t="n">
        <v>2015</v>
      </c>
      <c r="D53" s="16" t="inlineStr">
        <is>
          <t>Risk of Hospital-Associated CDI across the healthcare continuum</t>
        </is>
      </c>
      <c r="E53" s="16" t="inlineStr"/>
      <c r="F53" s="16" t="inlineStr"/>
      <c r="G53" s="16" t="inlineStr"/>
      <c r="H53" s="16" t="inlineStr"/>
      <c r="I53" s="16" t="inlineStr">
        <is>
          <t>Hospital/acute care</t>
        </is>
      </c>
      <c r="J53" s="16" t="inlineStr">
        <is>
          <t>HA-CDI (healthcare-associated)</t>
        </is>
      </c>
      <c r="K53" s="16" t="inlineStr">
        <is>
          <t>Retrospective cohort</t>
        </is>
      </c>
      <c r="L53" s="16" t="inlineStr"/>
      <c r="M53" s="16" t="inlineStr"/>
      <c r="N53" s="16" t="n">
        <v>401234</v>
      </c>
      <c r="O53" s="16" t="inlineStr"/>
      <c r="P53" s="16" t="inlineStr"/>
      <c r="Q53" s="16" t="inlineStr"/>
      <c r="R53" s="16" t="inlineStr"/>
      <c r="S53" s="16" t="inlineStr"/>
      <c r="T53" s="16" t="inlineStr">
        <is>
          <t>Tetracyclines</t>
        </is>
      </c>
      <c r="U53" s="16" t="inlineStr">
        <is>
          <t>Other antibiotics</t>
        </is>
      </c>
      <c r="V53" s="16" t="inlineStr"/>
      <c r="W53" s="16" t="inlineStr">
        <is>
          <t>Unclear</t>
        </is>
      </c>
      <c r="X53" s="16" t="inlineStr">
        <is>
          <t>other</t>
        </is>
      </c>
      <c r="Y53" s="16" t="inlineStr"/>
      <c r="Z53" s="16" t="inlineStr"/>
      <c r="AA53" s="16" t="inlineStr">
        <is>
          <t>Large cohort risk model; tetracycline appears in model text - extract estimate.</t>
        </is>
      </c>
    </row>
    <row r="54">
      <c r="A54" s="16" t="inlineStr">
        <is>
          <t>S52</t>
        </is>
      </c>
      <c r="B54" s="16" t="inlineStr">
        <is>
          <t>Teng</t>
        </is>
      </c>
      <c r="C54" s="16" t="n">
        <v>2019</v>
      </c>
      <c r="D54" s="16" t="inlineStr">
        <is>
          <t>CDI Risk with Important Antibiotic Classes: FDA FAERS analysis</t>
        </is>
      </c>
      <c r="E54" s="16" t="inlineStr"/>
      <c r="F54" s="16" t="inlineStr"/>
      <c r="G54" s="16" t="inlineStr"/>
      <c r="H54" s="16" t="inlineStr"/>
      <c r="I54" s="16" t="inlineStr">
        <is>
          <t>Mixed</t>
        </is>
      </c>
      <c r="J54" s="16" t="inlineStr">
        <is>
          <t>Mixed/Both</t>
        </is>
      </c>
      <c r="K54" s="16" t="inlineStr">
        <is>
          <t>Pharmacovigilance</t>
        </is>
      </c>
      <c r="L54" s="16" t="inlineStr"/>
      <c r="M54" s="16" t="inlineStr"/>
      <c r="N54" s="16" t="n">
        <v>204280</v>
      </c>
      <c r="O54" s="16" t="inlineStr"/>
      <c r="P54" s="16" t="inlineStr"/>
      <c r="Q54" s="16" t="inlineStr"/>
      <c r="R54" s="16" t="inlineStr"/>
      <c r="S54" s="16" t="inlineStr"/>
      <c r="T54" s="16" t="inlineStr">
        <is>
          <t>Doxycycline</t>
        </is>
      </c>
      <c r="U54" s="16" t="inlineStr"/>
      <c r="V54" s="16" t="inlineStr"/>
      <c r="W54" s="16" t="inlineStr">
        <is>
          <t>No</t>
        </is>
      </c>
      <c r="X54" s="16" t="inlineStr">
        <is>
          <t>other</t>
        </is>
      </c>
      <c r="Y54" s="16" t="inlineStr"/>
      <c r="Z54" s="16" t="inlineStr"/>
      <c r="AA54" s="16" t="inlineStr">
        <is>
          <t>FAERS disproportionality (ROR 3.32); EXCLUDED design per protocol.</t>
        </is>
      </c>
    </row>
    <row r="55">
      <c r="A55" s="16" t="inlineStr">
        <is>
          <t>S53</t>
        </is>
      </c>
      <c r="B55" s="16" t="inlineStr">
        <is>
          <t>Thabit</t>
        </is>
      </c>
      <c r="C55" s="16" t="n">
        <v>2019</v>
      </c>
      <c r="D55" s="16" t="inlineStr">
        <is>
          <t>Antibiotic Use and Duration in Association with CDI (tertiary academic)</t>
        </is>
      </c>
      <c r="E55" s="16" t="inlineStr"/>
      <c r="F55" s="16" t="inlineStr"/>
      <c r="G55" s="16" t="inlineStr"/>
      <c r="H55" s="16" t="inlineStr"/>
      <c r="I55" s="16" t="inlineStr">
        <is>
          <t>Hospital/acute care</t>
        </is>
      </c>
      <c r="J55" s="16" t="inlineStr">
        <is>
          <t>HA-CDI (healthcare-associated)</t>
        </is>
      </c>
      <c r="K55" s="16" t="inlineStr">
        <is>
          <t>Case-control</t>
        </is>
      </c>
      <c r="L55" s="16" t="inlineStr"/>
      <c r="M55" s="16" t="inlineStr"/>
      <c r="N55" s="16" t="n">
        <v>892</v>
      </c>
      <c r="O55" s="16" t="inlineStr"/>
      <c r="P55" s="16" t="inlineStr"/>
      <c r="Q55" s="16" t="inlineStr"/>
      <c r="R55" s="16" t="inlineStr"/>
      <c r="S55" s="16" t="inlineStr"/>
      <c r="T55" s="16" t="inlineStr">
        <is>
          <t>(not detected)</t>
        </is>
      </c>
      <c r="U55" s="16" t="inlineStr"/>
      <c r="V55" s="16" t="inlineStr"/>
      <c r="W55" s="16" t="inlineStr">
        <is>
          <t>No</t>
        </is>
      </c>
      <c r="X55" s="16" t="inlineStr">
        <is>
          <t>other</t>
        </is>
      </c>
      <c r="Y55" s="16" t="inlineStr"/>
      <c r="Z55" s="16" t="inlineStr"/>
      <c r="AA55" s="16" t="inlineStr">
        <is>
          <t>No tetracycline mention detected.</t>
        </is>
      </c>
    </row>
    <row r="56">
      <c r="A56" s="16" t="inlineStr">
        <is>
          <t>S54</t>
        </is>
      </c>
      <c r="B56" s="16" t="inlineStr">
        <is>
          <t>Thornhill</t>
        </is>
      </c>
      <c r="C56" s="16" t="n">
        <v>2019</v>
      </c>
      <c r="D56" s="16" t="inlineStr">
        <is>
          <t>Risk of Adverse Reactions to Oral Antibiotics Prescribed by Dentists</t>
        </is>
      </c>
      <c r="E56" s="16" t="inlineStr"/>
      <c r="F56" s="16" t="inlineStr"/>
      <c r="G56" s="16" t="inlineStr"/>
      <c r="H56" s="16" t="inlineStr"/>
      <c r="I56" s="16" t="inlineStr">
        <is>
          <t>Community</t>
        </is>
      </c>
      <c r="J56" s="16" t="inlineStr">
        <is>
          <t>Mixed/Both</t>
        </is>
      </c>
      <c r="K56" s="16" t="inlineStr">
        <is>
          <t>Retrospective cohort</t>
        </is>
      </c>
      <c r="L56" s="16" t="inlineStr"/>
      <c r="M56" s="16" t="inlineStr"/>
      <c r="N56" s="16" t="inlineStr"/>
      <c r="O56" s="16" t="inlineStr"/>
      <c r="P56" s="16" t="inlineStr"/>
      <c r="Q56" s="16" t="inlineStr"/>
      <c r="R56" s="16" t="inlineStr"/>
      <c r="S56" s="16" t="inlineStr"/>
      <c r="T56" s="16" t="inlineStr">
        <is>
          <t>Tetracyclines</t>
        </is>
      </c>
      <c r="U56" s="16" t="inlineStr"/>
      <c r="V56" s="16" t="inlineStr"/>
      <c r="W56" s="16" t="inlineStr">
        <is>
          <t>No</t>
        </is>
      </c>
      <c r="X56" s="16" t="inlineStr">
        <is>
          <t>other</t>
        </is>
      </c>
      <c r="Y56" s="16" t="inlineStr"/>
      <c r="Z56" s="16" t="inlineStr"/>
      <c r="AA56" s="16" t="inlineStr">
        <is>
          <t>Outcome = adverse-drug-reaction reports, not incident CDI specifically.</t>
        </is>
      </c>
    </row>
    <row r="57">
      <c r="A57" s="16" t="inlineStr">
        <is>
          <t>S55</t>
        </is>
      </c>
      <c r="B57" s="16" t="inlineStr">
        <is>
          <t>Tilton</t>
        </is>
      </c>
      <c r="C57" s="16" t="n">
        <v>2019</v>
      </c>
      <c r="D57" s="16" t="inlineStr">
        <is>
          <t>Development of a risk prediction model for HO-CDI</t>
        </is>
      </c>
      <c r="E57" s="16" t="inlineStr">
        <is>
          <t>Am J Infect Control</t>
        </is>
      </c>
      <c r="F57" s="16" t="inlineStr"/>
      <c r="G57" s="16" t="inlineStr"/>
      <c r="H57" s="16" t="inlineStr"/>
      <c r="I57" s="16" t="inlineStr">
        <is>
          <t>Hospital/acute care</t>
        </is>
      </c>
      <c r="J57" s="16" t="inlineStr">
        <is>
          <t>HA-CDI (healthcare-associated)</t>
        </is>
      </c>
      <c r="K57" s="16" t="inlineStr">
        <is>
          <t>Case-control</t>
        </is>
      </c>
      <c r="L57" s="16" t="inlineStr"/>
      <c r="M57" s="16" t="inlineStr"/>
      <c r="N57" s="16" t="n">
        <v>200</v>
      </c>
      <c r="O57" s="16" t="inlineStr"/>
      <c r="P57" s="16" t="inlineStr"/>
      <c r="Q57" s="16" t="inlineStr"/>
      <c r="R57" s="16" t="inlineStr"/>
      <c r="S57" s="16" t="inlineStr"/>
      <c r="T57" s="16" t="inlineStr">
        <is>
          <t>Doxycycline</t>
        </is>
      </c>
      <c r="U57" s="16" t="inlineStr">
        <is>
          <t>Other antibiotics</t>
        </is>
      </c>
      <c r="V57" s="16" t="inlineStr"/>
      <c r="W57" s="16" t="inlineStr">
        <is>
          <t>Yes</t>
        </is>
      </c>
      <c r="X57" s="16" t="inlineStr">
        <is>
          <t>new-include (fulltext_107)</t>
        </is>
      </c>
      <c r="Y57" s="16" t="inlineStr"/>
      <c r="Z57" s="16" t="inlineStr"/>
      <c r="AA57" s="16" t="inlineStr">
        <is>
          <t>Cases n=100; 2x2 partial (control denominator needed).</t>
        </is>
      </c>
    </row>
    <row r="58">
      <c r="A58" s="16" t="inlineStr">
        <is>
          <t>S56</t>
        </is>
      </c>
      <c r="B58" s="16" t="inlineStr">
        <is>
          <t>Veve</t>
        </is>
      </c>
      <c r="C58" s="16" t="n">
        <v>2025</v>
      </c>
      <c r="D58" s="16" t="inlineStr">
        <is>
          <t>Antimycobacterial treatment-related harms (retrospective cohort)</t>
        </is>
      </c>
      <c r="E58" s="16" t="inlineStr"/>
      <c r="F58" s="16" t="inlineStr"/>
      <c r="G58" s="16" t="inlineStr"/>
      <c r="H58" s="16" t="inlineStr"/>
      <c r="I58" s="16" t="inlineStr">
        <is>
          <t>Mixed</t>
        </is>
      </c>
      <c r="J58" s="16" t="inlineStr">
        <is>
          <t>Mixed/Both</t>
        </is>
      </c>
      <c r="K58" s="16" t="inlineStr">
        <is>
          <t>Retrospective cohort</t>
        </is>
      </c>
      <c r="L58" s="16" t="inlineStr"/>
      <c r="M58" s="16" t="inlineStr"/>
      <c r="N58" s="16" t="n">
        <v>200</v>
      </c>
      <c r="O58" s="16" t="inlineStr"/>
      <c r="P58" s="16" t="inlineStr"/>
      <c r="Q58" s="16" t="inlineStr"/>
      <c r="R58" s="16" t="inlineStr"/>
      <c r="S58" s="16" t="inlineStr"/>
      <c r="T58" s="16" t="inlineStr">
        <is>
          <t>Tetracycline derivative</t>
        </is>
      </c>
      <c r="U58" s="16" t="inlineStr"/>
      <c r="V58" s="16" t="inlineStr"/>
      <c r="W58" s="16" t="inlineStr">
        <is>
          <t>Unclear</t>
        </is>
      </c>
      <c r="X58" s="16" t="inlineStr">
        <is>
          <t>other</t>
        </is>
      </c>
      <c r="Y58" s="16" t="inlineStr"/>
      <c r="Z58" s="16" t="inlineStr"/>
      <c r="AA58" s="16" t="inlineStr">
        <is>
          <t>Exposure = tetracycline derivative; outcome = treatment harms; CDI-specific estimate unclear.</t>
        </is>
      </c>
    </row>
    <row r="59">
      <c r="A59" s="16" t="inlineStr">
        <is>
          <t>S57</t>
        </is>
      </c>
      <c r="B59" s="16" t="inlineStr">
        <is>
          <t>Wang</t>
        </is>
      </c>
      <c r="C59" s="16" t="n">
        <v>2020</v>
      </c>
      <c r="D59" s="16" t="inlineStr">
        <is>
          <t>Risk factors and intestinal microbiota: CDI in enteral-nutrition patients</t>
        </is>
      </c>
      <c r="E59" s="16" t="inlineStr">
        <is>
          <t>Critical Care</t>
        </is>
      </c>
      <c r="F59" s="16" t="inlineStr"/>
      <c r="G59" s="16" t="inlineStr"/>
      <c r="H59" s="16" t="inlineStr"/>
      <c r="I59" s="16" t="inlineStr">
        <is>
          <t>Hospital/acute care</t>
        </is>
      </c>
      <c r="J59" s="16" t="inlineStr">
        <is>
          <t>HA-CDI (healthcare-associated)</t>
        </is>
      </c>
      <c r="K59" s="16" t="inlineStr">
        <is>
          <t>Case-control</t>
        </is>
      </c>
      <c r="L59" s="16" t="inlineStr"/>
      <c r="M59" s="16" t="inlineStr"/>
      <c r="N59" s="16" t="n">
        <v>695</v>
      </c>
      <c r="O59" s="16" t="inlineStr"/>
      <c r="P59" s="16" t="inlineStr"/>
      <c r="Q59" s="16" t="inlineStr"/>
      <c r="R59" s="16" t="inlineStr"/>
      <c r="S59" s="16" t="inlineStr"/>
      <c r="T59" s="16" t="inlineStr">
        <is>
          <t>Tetracycline</t>
        </is>
      </c>
      <c r="U59" s="16" t="inlineStr">
        <is>
          <t>Other antibiotics</t>
        </is>
      </c>
      <c r="V59" s="16" t="inlineStr"/>
      <c r="W59" s="16" t="inlineStr">
        <is>
          <t>Yes</t>
        </is>
      </c>
      <c r="X59" s="16" t="inlineStr">
        <is>
          <t>new-include (fulltext_107)</t>
        </is>
      </c>
      <c r="Y59" s="16" t="inlineStr"/>
      <c r="Z59" s="16" t="inlineStr"/>
      <c r="AA59" s="16" t="inlineStr">
        <is>
          <t>ICU; crude 2x2 (p=0.776).</t>
        </is>
      </c>
    </row>
    <row r="60">
      <c r="A60" s="16" t="inlineStr">
        <is>
          <t>S58</t>
        </is>
      </c>
      <c r="B60" s="16" t="inlineStr">
        <is>
          <t>Watson</t>
        </is>
      </c>
      <c r="C60" s="16" t="n">
        <v>2018</v>
      </c>
      <c r="D60" s="16" t="inlineStr">
        <is>
          <t>Evaluating Risk Factors for Hospital-Onset CDI in a Large Healthcare System</t>
        </is>
      </c>
      <c r="E60" s="16" t="inlineStr">
        <is>
          <t>Clin Infect Dis</t>
        </is>
      </c>
      <c r="F60" s="16" t="inlineStr"/>
      <c r="G60" s="16" t="inlineStr"/>
      <c r="H60" s="16" t="inlineStr"/>
      <c r="I60" s="16" t="inlineStr">
        <is>
          <t>Hospital/acute care</t>
        </is>
      </c>
      <c r="J60" s="16" t="inlineStr">
        <is>
          <t>HA-CDI (healthcare-associated)</t>
        </is>
      </c>
      <c r="K60" s="16" t="inlineStr">
        <is>
          <t>Case-control</t>
        </is>
      </c>
      <c r="L60" s="16" t="inlineStr"/>
      <c r="M60" s="16" t="inlineStr"/>
      <c r="N60" s="16" t="inlineStr"/>
      <c r="O60" s="16" t="inlineStr"/>
      <c r="P60" s="16" t="inlineStr"/>
      <c r="Q60" s="16" t="inlineStr"/>
      <c r="R60" s="16" t="inlineStr"/>
      <c r="S60" s="16" t="inlineStr"/>
      <c r="T60" s="16" t="inlineStr">
        <is>
          <t>Tetracyclines</t>
        </is>
      </c>
      <c r="U60" s="16" t="inlineStr">
        <is>
          <t>Other antibiotics</t>
        </is>
      </c>
      <c r="V60" s="16" t="inlineStr"/>
      <c r="W60" s="16" t="inlineStr">
        <is>
          <t>Yes</t>
        </is>
      </c>
      <c r="X60" s="16" t="inlineStr">
        <is>
          <t>new-include (fulltext_107)</t>
        </is>
      </c>
      <c r="Y60" s="16" t="inlineStr"/>
      <c r="Z60" s="16" t="inlineStr"/>
      <c r="AA60" s="16" t="inlineStr">
        <is>
          <t>Protective.</t>
        </is>
      </c>
    </row>
    <row r="61">
      <c r="A61" s="16" t="inlineStr">
        <is>
          <t>S59</t>
        </is>
      </c>
      <c r="B61" s="16" t="inlineStr">
        <is>
          <t>Webb</t>
        </is>
      </c>
      <c r="C61" s="16" t="n">
        <v>2020</v>
      </c>
      <c r="D61" s="16" t="inlineStr">
        <is>
          <t>Antibiotic Exposure and Risk for Hospital-Associated CDI</t>
        </is>
      </c>
      <c r="E61" s="16" t="inlineStr"/>
      <c r="F61" s="16" t="inlineStr"/>
      <c r="G61" s="16" t="inlineStr"/>
      <c r="H61" s="16" t="inlineStr"/>
      <c r="I61" s="16" t="inlineStr">
        <is>
          <t>Hospital/acute care</t>
        </is>
      </c>
      <c r="J61" s="16" t="inlineStr">
        <is>
          <t>Mixed/Both</t>
        </is>
      </c>
      <c r="K61" s="16" t="inlineStr">
        <is>
          <t>Retrospective cohort</t>
        </is>
      </c>
      <c r="L61" s="16" t="inlineStr"/>
      <c r="M61" s="16" t="inlineStr"/>
      <c r="N61" s="16" t="n">
        <v>2356</v>
      </c>
      <c r="O61" s="16" t="inlineStr"/>
      <c r="P61" s="16" t="inlineStr"/>
      <c r="Q61" s="16" t="inlineStr"/>
      <c r="R61" s="16" t="inlineStr"/>
      <c r="S61" s="16" t="inlineStr"/>
      <c r="T61" s="16" t="inlineStr">
        <is>
          <t>Doxycycline</t>
        </is>
      </c>
      <c r="U61" s="16" t="inlineStr">
        <is>
          <t>Other antibiotics</t>
        </is>
      </c>
      <c r="V61" s="16" t="inlineStr"/>
      <c r="W61" s="16" t="inlineStr">
        <is>
          <t>Yes</t>
        </is>
      </c>
      <c r="X61" s="16" t="inlineStr">
        <is>
          <t>other</t>
        </is>
      </c>
      <c r="Y61" s="16" t="inlineStr"/>
      <c r="Z61" s="16" t="inlineStr"/>
      <c r="AA61" s="16" t="inlineStr">
        <is>
          <t>Doxycycline protective.</t>
        </is>
      </c>
    </row>
    <row r="62">
      <c r="A62" s="16" t="inlineStr">
        <is>
          <t>S60</t>
        </is>
      </c>
      <c r="B62" s="16" t="inlineStr">
        <is>
          <t>Werkhoven</t>
        </is>
      </c>
      <c r="C62" s="16" t="n">
        <v>2015</v>
      </c>
      <c r="D62" s="16" t="inlineStr">
        <is>
          <t>Identification of patients at high risk for CDI and validation</t>
        </is>
      </c>
      <c r="E62" s="16" t="inlineStr"/>
      <c r="F62" s="16" t="inlineStr"/>
      <c r="G62" s="16" t="inlineStr"/>
      <c r="H62" s="16" t="inlineStr"/>
      <c r="I62" s="16" t="inlineStr">
        <is>
          <t>Hospital/acute care</t>
        </is>
      </c>
      <c r="J62" s="16" t="inlineStr">
        <is>
          <t>Mixed/Both</t>
        </is>
      </c>
      <c r="K62" s="16" t="inlineStr">
        <is>
          <t>Retrospective cohort</t>
        </is>
      </c>
      <c r="L62" s="16" t="inlineStr"/>
      <c r="M62" s="16" t="inlineStr"/>
      <c r="N62" s="16" t="n">
        <v>180</v>
      </c>
      <c r="O62" s="16" t="inlineStr"/>
      <c r="P62" s="16" t="inlineStr"/>
      <c r="Q62" s="16" t="inlineStr"/>
      <c r="R62" s="16" t="inlineStr"/>
      <c r="S62" s="16" t="inlineStr"/>
      <c r="T62" s="16" t="inlineStr">
        <is>
          <t>(not detected)</t>
        </is>
      </c>
      <c r="U62" s="16" t="inlineStr"/>
      <c r="V62" s="16" t="inlineStr"/>
      <c r="W62" s="16" t="inlineStr">
        <is>
          <t>No</t>
        </is>
      </c>
      <c r="X62" s="16" t="inlineStr">
        <is>
          <t>other</t>
        </is>
      </c>
      <c r="Y62" s="16" t="inlineStr"/>
      <c r="Z62" s="16" t="inlineStr"/>
      <c r="AA62" s="16" t="inlineStr">
        <is>
          <t>Risk-model; no tetracycline mention detected.</t>
        </is>
      </c>
    </row>
    <row r="63">
      <c r="A63" s="16" t="inlineStr">
        <is>
          <t>S61</t>
        </is>
      </c>
      <c r="B63" s="16" t="inlineStr">
        <is>
          <t>Young</t>
        </is>
      </c>
      <c r="C63" s="16" t="n">
        <v>2019</v>
      </c>
      <c r="D63" s="16" t="inlineStr">
        <is>
          <t>2388. High-risk antibiotics associated with CDI: national multicentre (abstract)</t>
        </is>
      </c>
      <c r="E63" s="16" t="inlineStr"/>
      <c r="F63" s="16" t="inlineStr"/>
      <c r="G63" s="16" t="inlineStr"/>
      <c r="H63" s="16" t="inlineStr"/>
      <c r="I63" s="16" t="inlineStr">
        <is>
          <t>Hospital/acute care</t>
        </is>
      </c>
      <c r="J63" s="16" t="inlineStr">
        <is>
          <t>HA-CDI (healthcare-associated)</t>
        </is>
      </c>
      <c r="K63" s="16" t="inlineStr">
        <is>
          <t>Retrospective cohort</t>
        </is>
      </c>
      <c r="L63" s="16" t="inlineStr"/>
      <c r="M63" s="16" t="inlineStr"/>
      <c r="N63" s="16" t="n">
        <v>85451</v>
      </c>
      <c r="O63" s="16" t="inlineStr"/>
      <c r="P63" s="16" t="inlineStr"/>
      <c r="Q63" s="16" t="inlineStr"/>
      <c r="R63" s="16" t="inlineStr"/>
      <c r="S63" s="16" t="inlineStr"/>
      <c r="T63" s="16" t="inlineStr">
        <is>
          <t>Tetracyclines</t>
        </is>
      </c>
      <c r="U63" s="16" t="inlineStr">
        <is>
          <t>Other antibiotics</t>
        </is>
      </c>
      <c r="V63" s="16" t="inlineStr"/>
      <c r="W63" s="16" t="inlineStr">
        <is>
          <t>Yes</t>
        </is>
      </c>
      <c r="X63" s="16" t="inlineStr">
        <is>
          <t>other</t>
        </is>
      </c>
      <c r="Y63" s="16" t="inlineStr"/>
      <c r="Z63" s="16" t="inlineStr"/>
      <c r="AA63" s="16" t="inlineStr">
        <is>
          <t>Conf abstract; tetracyclines protective OR 0.58.</t>
        </is>
      </c>
    </row>
    <row r="64">
      <c r="A64" s="16" t="inlineStr">
        <is>
          <t>S62</t>
        </is>
      </c>
      <c r="B64" s="16" t="inlineStr">
        <is>
          <t>Yu</t>
        </is>
      </c>
      <c r="C64" s="16" t="n">
        <v>2021</v>
      </c>
      <c r="D64" s="16" t="inlineStr">
        <is>
          <t>Assessing risk factors, mortality, utilization with CDI (4 LatAm countries)</t>
        </is>
      </c>
      <c r="E64" s="16" t="inlineStr">
        <is>
          <t>Braz J Infect Dis</t>
        </is>
      </c>
      <c r="F64" s="16" t="inlineStr"/>
      <c r="G64" s="16" t="inlineStr"/>
      <c r="H64" s="16" t="inlineStr"/>
      <c r="I64" s="16" t="inlineStr">
        <is>
          <t>Hospital/acute care</t>
        </is>
      </c>
      <c r="J64" s="16" t="inlineStr">
        <is>
          <t>HA-CDI (healthcare-associated)</t>
        </is>
      </c>
      <c r="K64" s="16" t="inlineStr">
        <is>
          <t>Case-control</t>
        </is>
      </c>
      <c r="L64" s="16" t="inlineStr"/>
      <c r="M64" s="16" t="inlineStr"/>
      <c r="N64" s="16" t="n">
        <v>1443</v>
      </c>
      <c r="O64" s="16" t="inlineStr"/>
      <c r="P64" s="16" t="inlineStr"/>
      <c r="Q64" s="16" t="inlineStr"/>
      <c r="R64" s="16" t="inlineStr"/>
      <c r="S64" s="16" t="inlineStr"/>
      <c r="T64" s="16" t="inlineStr">
        <is>
          <t>Tetracycline</t>
        </is>
      </c>
      <c r="U64" s="16" t="inlineStr">
        <is>
          <t>Other antibiotics</t>
        </is>
      </c>
      <c r="V64" s="16" t="inlineStr"/>
      <c r="W64" s="16" t="inlineStr">
        <is>
          <t>Yes</t>
        </is>
      </c>
      <c r="X64" s="16" t="inlineStr">
        <is>
          <t>new-include (fulltext_107)</t>
        </is>
      </c>
      <c r="Y64" s="16" t="inlineStr"/>
      <c r="Z64" s="16" t="inlineStr"/>
      <c r="AA64" s="16" t="inlineStr">
        <is>
          <t>Harmful association.</t>
        </is>
      </c>
    </row>
    <row r="65">
      <c r="A65" s="16" t="inlineStr">
        <is>
          <t>S63</t>
        </is>
      </c>
      <c r="B65" s="16" t="inlineStr">
        <is>
          <t>Zhang</t>
        </is>
      </c>
      <c r="C65" s="16" t="n">
        <v>2022</v>
      </c>
      <c r="D65" s="16" t="inlineStr">
        <is>
          <t>Antibiotic-Specific Risk for CA-CDI in the United States</t>
        </is>
      </c>
      <c r="E65" s="16" t="inlineStr"/>
      <c r="F65" s="16" t="inlineStr"/>
      <c r="G65" s="16" t="inlineStr"/>
      <c r="H65" s="16" t="inlineStr"/>
      <c r="I65" s="16" t="inlineStr">
        <is>
          <t>Community</t>
        </is>
      </c>
      <c r="J65" s="16" t="inlineStr">
        <is>
          <t>CA-CDI (community-associated)</t>
        </is>
      </c>
      <c r="K65" s="16" t="inlineStr">
        <is>
          <t>Retrospective cohort</t>
        </is>
      </c>
      <c r="L65" s="16" t="inlineStr"/>
      <c r="M65" s="16" t="inlineStr"/>
      <c r="N65" s="16" t="n">
        <v>11607</v>
      </c>
      <c r="O65" s="16" t="inlineStr"/>
      <c r="P65" s="16" t="inlineStr"/>
      <c r="Q65" s="16" t="inlineStr"/>
      <c r="R65" s="16" t="inlineStr"/>
      <c r="S65" s="16" t="inlineStr"/>
      <c r="T65" s="16" t="inlineStr">
        <is>
          <t>Doxycycline (reference)</t>
        </is>
      </c>
      <c r="U65" s="16" t="inlineStr">
        <is>
          <t>Other classes vs doxycycline</t>
        </is>
      </c>
      <c r="V65" s="16" t="inlineStr"/>
      <c r="W65" s="16" t="inlineStr">
        <is>
          <t>Unclear</t>
        </is>
      </c>
      <c r="X65" s="16" t="inlineStr">
        <is>
          <t>other</t>
        </is>
      </c>
      <c r="Y65" s="16" t="inlineStr"/>
      <c r="Z65" s="16" t="inlineStr"/>
      <c r="AA65" s="16" t="inlineStr">
        <is>
          <t>Doxycycline is the REFERENCE category; others' aOR relative to doxy (e.g., clindamycin 8.81).</t>
        </is>
      </c>
    </row>
    <row r="66">
      <c r="A66" s="16" t="inlineStr">
        <is>
          <t>S64</t>
        </is>
      </c>
      <c r="B66" s="16" t="inlineStr">
        <is>
          <t>Zilberberg</t>
        </is>
      </c>
      <c r="C66" s="16" t="n">
        <v>2016</v>
      </c>
      <c r="D66" s="16" t="inlineStr">
        <is>
          <t>Development/Validation of a Risk Score for CDI in Medicare Beneficiaries</t>
        </is>
      </c>
      <c r="E66" s="16" t="inlineStr"/>
      <c r="F66" s="16" t="inlineStr"/>
      <c r="G66" s="16" t="inlineStr"/>
      <c r="H66" s="16" t="inlineStr"/>
      <c r="I66" s="16" t="inlineStr">
        <is>
          <t>Hospital/acute care</t>
        </is>
      </c>
      <c r="J66" s="16" t="inlineStr">
        <is>
          <t>Mixed/Both</t>
        </is>
      </c>
      <c r="K66" s="16" t="inlineStr">
        <is>
          <t>Retrospective cohort</t>
        </is>
      </c>
      <c r="L66" s="16" t="inlineStr"/>
      <c r="M66" s="16" t="inlineStr"/>
      <c r="N66" s="16" t="n">
        <v>115832</v>
      </c>
      <c r="O66" s="16" t="inlineStr"/>
      <c r="P66" s="16" t="inlineStr"/>
      <c r="Q66" s="16" t="inlineStr"/>
      <c r="R66" s="16" t="inlineStr"/>
      <c r="S66" s="16" t="inlineStr"/>
      <c r="T66" s="16" t="inlineStr">
        <is>
          <t>(not detected)</t>
        </is>
      </c>
      <c r="U66" s="16" t="inlineStr"/>
      <c r="V66" s="16" t="inlineStr"/>
      <c r="W66" s="16" t="inlineStr">
        <is>
          <t>No</t>
        </is>
      </c>
      <c r="X66" s="16" t="inlineStr">
        <is>
          <t>other</t>
        </is>
      </c>
      <c r="Y66" s="16" t="inlineStr"/>
      <c r="Z66" s="16" t="inlineStr"/>
      <c r="AA66" s="16" t="inlineStr">
        <is>
          <t>Risk-score; no tetracycline mention detected.</t>
        </is>
      </c>
    </row>
    <row r="67">
      <c r="A67" s="16" t="inlineStr">
        <is>
          <t>S65</t>
        </is>
      </c>
      <c r="B67" s="16" t="inlineStr">
        <is>
          <t>Zimmerman</t>
        </is>
      </c>
      <c r="C67" s="16" t="n">
        <v>1991</v>
      </c>
      <c r="D67" s="16" t="inlineStr">
        <is>
          <t>Risk Factors for C. difficile Cytotoxin-Positive Diarrhea</t>
        </is>
      </c>
      <c r="E67" s="16" t="inlineStr"/>
      <c r="F67" s="16" t="inlineStr"/>
      <c r="G67" s="16" t="inlineStr"/>
      <c r="H67" s="16" t="inlineStr"/>
      <c r="I67" s="16" t="inlineStr">
        <is>
          <t>Hospital/acute care</t>
        </is>
      </c>
      <c r="J67" s="16" t="inlineStr">
        <is>
          <t>Mixed/Both</t>
        </is>
      </c>
      <c r="K67" s="16" t="inlineStr">
        <is>
          <t>Case-control</t>
        </is>
      </c>
      <c r="L67" s="16" t="inlineStr"/>
      <c r="M67" s="16" t="inlineStr"/>
      <c r="N67" s="16" t="inlineStr"/>
      <c r="O67" s="16" t="inlineStr"/>
      <c r="P67" s="16" t="inlineStr"/>
      <c r="Q67" s="16" t="inlineStr"/>
      <c r="R67" s="16" t="inlineStr"/>
      <c r="S67" s="16" t="inlineStr"/>
      <c r="T67" s="16" t="inlineStr">
        <is>
          <t>(not detected)</t>
        </is>
      </c>
      <c r="U67" s="16" t="inlineStr"/>
      <c r="V67" s="16" t="inlineStr"/>
      <c r="W67" s="16" t="inlineStr">
        <is>
          <t>No</t>
        </is>
      </c>
      <c r="X67" s="16" t="inlineStr">
        <is>
          <t>other</t>
        </is>
      </c>
      <c r="Y67" s="16" t="inlineStr"/>
      <c r="Z67" s="16" t="inlineStr"/>
      <c r="AA67" s="16" t="inlineStr">
        <is>
          <t>No tetracycline mention detected.</t>
        </is>
      </c>
    </row>
  </sheetData>
  <dataValidations count="7">
    <dataValidation sqref="I2:I31" showDropDown="0" showInputMessage="0" showErrorMessage="0" allowBlank="1" type="list">
      <formula1>Lookups!$B$3:$B$8</formula1>
    </dataValidation>
    <dataValidation sqref="J2:J31" showDropDown="0" showInputMessage="0" showErrorMessage="0" allowBlank="1" type="list">
      <formula1>Lookups!$C$3:$C$6</formula1>
    </dataValidation>
    <dataValidation sqref="K2:K31" showDropDown="0" showInputMessage="0" showErrorMessage="0" allowBlank="1" type="list">
      <formula1>Lookups!$A$3:$A$10</formula1>
    </dataValidation>
    <dataValidation sqref="P2:P31" showDropDown="0" showInputMessage="0" showErrorMessage="0" allowBlank="1" type="list">
      <formula1>Lookups!$D$3:$D$7</formula1>
    </dataValidation>
    <dataValidation sqref="S2:S31" showDropDown="0" showInputMessage="0" showErrorMessage="0" allowBlank="1" type="list">
      <formula1>Lookups!$E$3:$E$10</formula1>
    </dataValidation>
    <dataValidation sqref="W2:W31" showDropDown="0" showInputMessage="0" showErrorMessage="0" allowBlank="1" type="list">
      <formula1>Lookups!$F$3:$F$6</formula1>
    </dataValidation>
    <dataValidation sqref="X2:X31" showDropDown="0" showInputMessage="0" showErrorMessage="0" allowBlank="1" type="list">
      <formula1>Lookups!$S$3:$S$5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22" customWidth="1" min="4" max="4"/>
    <col width="24" customWidth="1" min="5" max="5"/>
    <col width="22" customWidth="1" min="6" max="6"/>
    <col width="16" customWidth="1" min="7" max="7"/>
    <col width="11" customWidth="1" min="8" max="8"/>
    <col width="20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9" customWidth="1" min="15" max="15"/>
    <col width="10" customWidth="1" min="16" max="16"/>
    <col width="10" customWidth="1" min="17" max="17"/>
    <col width="11" customWidth="1" min="18" max="18"/>
    <col width="7" customWidth="1" min="19" max="19"/>
    <col width="11" customWidth="1" min="20" max="20"/>
    <col width="10" customWidth="1" min="21" max="21"/>
    <col width="11" customWidth="1" min="22" max="22"/>
    <col width="10" customWidth="1" min="23" max="23"/>
    <col width="11" customWidth="1" min="24" max="24"/>
    <col width="9" customWidth="1" min="25" max="25"/>
    <col width="9" customWidth="1" min="26" max="26"/>
    <col width="14" customWidth="1" min="27" max="27"/>
    <col width="12" customWidth="1" min="28" max="28"/>
    <col width="26" customWidth="1" min="29" max="29"/>
    <col width="20" customWidth="1" min="30" max="30"/>
    <col width="22" customWidth="1" min="31" max="31"/>
    <col width="34" customWidth="1" min="32" max="32"/>
  </cols>
  <sheetData>
    <row r="1" ht="42" customHeight="1">
      <c r="A1" s="12" t="inlineStr">
        <is>
          <t>Estimate_ID</t>
        </is>
      </c>
      <c r="B1" s="12" t="inlineStr">
        <is>
          <t>Study_ID</t>
        </is>
      </c>
      <c r="C1" s="12" t="inlineStr">
        <is>
          <t>Exposure_item</t>
        </is>
      </c>
      <c r="D1" s="12" t="inlineStr">
        <is>
          <t>Exposure_grouping</t>
        </is>
      </c>
      <c r="E1" s="12" t="inlineStr">
        <is>
          <t>Comparator_type</t>
        </is>
      </c>
      <c r="F1" s="12" t="inlineStr">
        <is>
          <t>Comparator_detail</t>
        </is>
      </c>
      <c r="G1" s="12" t="inlineStr">
        <is>
          <t>Subgroup</t>
        </is>
      </c>
      <c r="H1" s="12" t="inlineStr">
        <is>
          <t>Estimate_type</t>
        </is>
      </c>
      <c r="I1" s="12" t="inlineStr">
        <is>
          <t>Adjusted</t>
        </is>
      </c>
      <c r="J1" s="12" t="inlineStr">
        <is>
          <t>Point_est</t>
        </is>
      </c>
      <c r="K1" s="12" t="inlineStr">
        <is>
          <t>CI_lower</t>
        </is>
      </c>
      <c r="L1" s="12" t="inlineStr">
        <is>
          <t>CI_upper</t>
        </is>
      </c>
      <c r="M1" s="12" t="inlineStr">
        <is>
          <t>CI_level</t>
        </is>
      </c>
      <c r="N1" s="12" t="inlineStr">
        <is>
          <t>P_value</t>
        </is>
      </c>
      <c r="O1" s="12" t="inlineStr">
        <is>
          <t>a_exp_CDI</t>
        </is>
      </c>
      <c r="P1" s="12" t="inlineStr">
        <is>
          <t>b_exp_noCDI</t>
        </is>
      </c>
      <c r="Q1" s="12" t="inlineStr">
        <is>
          <t>c_unexp_CDI</t>
        </is>
      </c>
      <c r="R1" s="12" t="inlineStr">
        <is>
          <t>d_unexp_noCDI</t>
        </is>
      </c>
      <c r="S1" s="12" t="inlineStr">
        <is>
          <t>z (auto)</t>
        </is>
      </c>
      <c r="T1" s="12" t="inlineStr">
        <is>
          <t>logEff_pt (auto)</t>
        </is>
      </c>
      <c r="U1" s="12" t="inlineStr">
        <is>
          <t>SE_CI (auto)</t>
        </is>
      </c>
      <c r="V1" s="12" t="inlineStr">
        <is>
          <t>logOR_2x2 (auto)</t>
        </is>
      </c>
      <c r="W1" s="12" t="inlineStr">
        <is>
          <t>SE_2x2 (auto)</t>
        </is>
      </c>
      <c r="X1" s="12" t="inlineStr">
        <is>
          <t>yi_logOR (auto)</t>
        </is>
      </c>
      <c r="Y1" s="12" t="inlineStr">
        <is>
          <t>sei (auto)</t>
        </is>
      </c>
      <c r="Z1" s="12" t="inlineStr">
        <is>
          <t>OR_disp (auto)</t>
        </is>
      </c>
      <c r="AA1" s="12" t="inlineStr">
        <is>
          <t>Used_in_primary</t>
        </is>
      </c>
      <c r="AB1" s="12" t="inlineStr">
        <is>
          <t>primary_key (auto)</t>
        </is>
      </c>
      <c r="AC1" s="12" t="inlineStr">
        <is>
          <t>Scale_note</t>
        </is>
      </c>
      <c r="AD1" s="12" t="inlineStr">
        <is>
          <t>Source_table/page</t>
        </is>
      </c>
      <c r="AE1" s="12" t="inlineStr">
        <is>
          <t>Verified</t>
        </is>
      </c>
      <c r="AF1" s="12" t="inlineStr">
        <is>
          <t>Notes</t>
        </is>
      </c>
    </row>
    <row r="2">
      <c r="A2" s="15" t="inlineStr">
        <is>
          <t>EX-01</t>
        </is>
      </c>
      <c r="B2" s="15" t="inlineStr">
        <is>
          <t>EX-01</t>
        </is>
      </c>
      <c r="C2" s="15" t="inlineStr">
        <is>
          <t>Doxycycline</t>
        </is>
      </c>
      <c r="D2" s="15" t="inlineStr">
        <is>
          <t>Individual tetracycline agent</t>
        </is>
      </c>
      <c r="E2" s="15" t="inlineStr">
        <is>
          <t>Other antibiotics (pooled)</t>
        </is>
      </c>
      <c r="F2" s="15" t="inlineStr">
        <is>
          <t>vs all non-tetracycline abx</t>
        </is>
      </c>
      <c r="G2" s="15" t="inlineStr">
        <is>
          <t>Overall / primary</t>
        </is>
      </c>
      <c r="H2" s="15" t="inlineStr">
        <is>
          <t>aOR</t>
        </is>
      </c>
      <c r="I2" s="15" t="inlineStr">
        <is>
          <t>Adjusted (multivariable)</t>
        </is>
      </c>
      <c r="J2" s="15" t="n">
        <v>0.55</v>
      </c>
      <c r="K2" s="15" t="n">
        <v>0.4</v>
      </c>
      <c r="L2" s="15" t="n">
        <v>0.75</v>
      </c>
      <c r="M2" s="15" t="n">
        <v>95</v>
      </c>
      <c r="N2" s="15" t="n">
        <v>0.001</v>
      </c>
      <c r="O2" s="15" t="inlineStr"/>
      <c r="P2" s="15" t="inlineStr"/>
      <c r="Q2" s="15" t="inlineStr"/>
      <c r="R2" s="15" t="inlineStr"/>
      <c r="S2" s="18">
        <f>IF(M2="",1.96,IF(M2=90,1.645,IF(M2=99,2.576,1.96)))</f>
        <v/>
      </c>
      <c r="T2" s="18">
        <f>IFERROR(LN(J2),"")</f>
        <v/>
      </c>
      <c r="U2" s="18">
        <f>IFERROR((LN(L2)-LN(K2))/(2*S2),"")</f>
        <v/>
      </c>
      <c r="V2" s="18">
        <f>IFERROR(LN((O2*R2)/(P2*Q2)),"")</f>
        <v/>
      </c>
      <c r="W2" s="18">
        <f>IFERROR(SQRT(1/O2+1/P2+1/Q2+1/R2),"")</f>
        <v/>
      </c>
      <c r="X2" s="18">
        <f>IFERROR(IF(T2&lt;&gt;"",T2,V2),"")</f>
        <v/>
      </c>
      <c r="Y2" s="18">
        <f>IFERROR(IF(U2&lt;&gt;"",U2,W2),"")</f>
        <v/>
      </c>
      <c r="Z2" s="18">
        <f>IFERROR(EXP(X2),"")</f>
        <v/>
      </c>
      <c r="AA2" s="15" t="inlineStr"/>
      <c r="AB2" s="18">
        <f>IF(AA2="Yes",B2,"")</f>
        <v/>
      </c>
      <c r="AC2" s="15" t="inlineStr">
        <is>
          <t>Table 2, p.4</t>
        </is>
      </c>
      <c r="AD2" s="15" t="inlineStr">
        <is>
          <t>Verified (single)</t>
        </is>
      </c>
      <c r="AE2" s="15" t="inlineStr">
        <is>
          <t>EXAMPLE row — delete before use</t>
        </is>
      </c>
    </row>
    <row r="3">
      <c r="A3" s="16" t="inlineStr">
        <is>
          <t>E01</t>
        </is>
      </c>
      <c r="B3" s="16" t="inlineStr">
        <is>
          <t>S01</t>
        </is>
      </c>
      <c r="C3" s="16" t="inlineStr">
        <is>
          <t>Tetracyclines (class, pooled)</t>
        </is>
      </c>
      <c r="D3" s="16" t="inlineStr">
        <is>
          <t>Tetracycline-class (pooled)</t>
        </is>
      </c>
      <c r="E3" s="16" t="inlineStr">
        <is>
          <t>Other antibiotics (pooled)</t>
        </is>
      </c>
      <c r="F3" s="16" t="inlineStr"/>
      <c r="G3" s="16" t="inlineStr">
        <is>
          <t>Overall / primary</t>
        </is>
      </c>
      <c r="H3" s="16" t="inlineStr">
        <is>
          <t>aOR</t>
        </is>
      </c>
      <c r="I3" s="16" t="inlineStr">
        <is>
          <t>Adjusted (multivariable)</t>
        </is>
      </c>
      <c r="J3" s="16" t="n">
        <v>1.26</v>
      </c>
      <c r="K3" s="16" t="n">
        <v>0.46</v>
      </c>
      <c r="L3" s="16" t="n">
        <v>3.44</v>
      </c>
      <c r="M3" s="16" t="n">
        <v>95</v>
      </c>
      <c r="N3" s="16" t="inlineStr"/>
      <c r="O3" s="16" t="inlineStr"/>
      <c r="P3" s="16" t="inlineStr"/>
      <c r="Q3" s="16" t="inlineStr"/>
      <c r="R3" s="16" t="inlineStr"/>
      <c r="S3" s="19">
        <f>IF(M3="",1.96,IF(M3=90,1.645,IF(M3=99,2.576,1.96)))</f>
        <v/>
      </c>
      <c r="T3" s="19">
        <f>IFERROR(LN(J3),"")</f>
        <v/>
      </c>
      <c r="U3" s="19">
        <f>IFERROR((LN(L3)-LN(K3))/(2*S3),"")</f>
        <v/>
      </c>
      <c r="V3" s="19">
        <f>IFERROR(LN((O3*R3)/(P3*Q3)),"")</f>
        <v/>
      </c>
      <c r="W3" s="19">
        <f>IFERROR(SQRT(1/O3+1/P3+1/Q3+1/R3),"")</f>
        <v/>
      </c>
      <c r="X3" s="19">
        <f>IFERROR(IF(T3&lt;&gt;"",T3,V3),"")</f>
        <v/>
      </c>
      <c r="Y3" s="19">
        <f>IFERROR(IF(U3&lt;&gt;"",U3,W3),"")</f>
        <v/>
      </c>
      <c r="Z3" s="19">
        <f>IFERROR(EXP(X3),"")</f>
        <v/>
      </c>
      <c r="AA3" s="16" t="inlineStr">
        <is>
          <t>Yes</t>
        </is>
      </c>
      <c r="AB3" s="19">
        <f>IF(AA3="Yes",B3,"")</f>
        <v/>
      </c>
      <c r="AC3" s="16" t="inlineStr">
        <is>
          <t>Crude OR 1.72 (0.94-3.13)</t>
        </is>
      </c>
      <c r="AD3" s="16" t="inlineStr">
        <is>
          <t>source table (see PDF)</t>
        </is>
      </c>
      <c r="AE3" s="16" t="inlineStr">
        <is>
          <t>UNVERIFIED - needs extraction</t>
        </is>
      </c>
      <c r="AF3" s="16" t="inlineStr">
        <is>
          <t>Pediatric CA-CDI.</t>
        </is>
      </c>
    </row>
    <row r="4">
      <c r="A4" s="16" t="inlineStr">
        <is>
          <t>E02</t>
        </is>
      </c>
      <c r="B4" s="16" t="inlineStr">
        <is>
          <t>S02</t>
        </is>
      </c>
      <c r="C4" s="16" t="inlineStr">
        <is>
          <t>Tigecycline</t>
        </is>
      </c>
      <c r="D4" s="16" t="inlineStr">
        <is>
          <t>Individual tetracycline agent</t>
        </is>
      </c>
      <c r="E4" s="16" t="inlineStr">
        <is>
          <t>Specific class (see detail)</t>
        </is>
      </c>
      <c r="F4" s="16" t="inlineStr">
        <is>
          <t>tigecycline- vs meropenem-based regimen</t>
        </is>
      </c>
      <c r="G4" s="16" t="inlineStr">
        <is>
          <t>Other</t>
        </is>
      </c>
      <c r="H4" s="16" t="inlineStr">
        <is>
          <t>HR</t>
        </is>
      </c>
      <c r="I4" s="16" t="inlineStr">
        <is>
          <t>Unclear</t>
        </is>
      </c>
      <c r="J4" s="16" t="inlineStr"/>
      <c r="K4" s="16" t="inlineStr"/>
      <c r="L4" s="16" t="inlineStr"/>
      <c r="M4" s="16" t="n">
        <v>95</v>
      </c>
      <c r="N4" s="16" t="inlineStr"/>
      <c r="O4" s="16" t="inlineStr"/>
      <c r="P4" s="16" t="inlineStr"/>
      <c r="Q4" s="16" t="inlineStr"/>
      <c r="R4" s="16" t="inlineStr"/>
      <c r="S4" s="19">
        <f>IF(M4="",1.96,IF(M4=90,1.645,IF(M4=99,2.576,1.96)))</f>
        <v/>
      </c>
      <c r="T4" s="19">
        <f>IFERROR(LN(J4),"")</f>
        <v/>
      </c>
      <c r="U4" s="19">
        <f>IFERROR((LN(L4)-LN(K4))/(2*S4),"")</f>
        <v/>
      </c>
      <c r="V4" s="19">
        <f>IFERROR(LN((O4*R4)/(P4*Q4)),"")</f>
        <v/>
      </c>
      <c r="W4" s="19">
        <f>IFERROR(SQRT(1/O4+1/P4+1/Q4+1/R4),"")</f>
        <v/>
      </c>
      <c r="X4" s="19">
        <f>IFERROR(IF(T4&lt;&gt;"",T4,V4),"")</f>
        <v/>
      </c>
      <c r="Y4" s="19">
        <f>IFERROR(IF(U4&lt;&gt;"",U4,W4),"")</f>
        <v/>
      </c>
      <c r="Z4" s="19">
        <f>IFERROR(EXP(X4),"")</f>
        <v/>
      </c>
      <c r="AA4" s="16" t="inlineStr">
        <is>
          <t>No</t>
        </is>
      </c>
      <c r="AB4" s="19">
        <f>IF(AA4="Yes",B4,"")</f>
        <v/>
      </c>
      <c r="AC4" s="16" t="inlineStr">
        <is>
          <t>Composite outcome (CRE colonisation OR CDI) - not CDI-specific</t>
        </is>
      </c>
      <c r="AD4" s="16" t="inlineStr">
        <is>
          <t>source table (see PDF)</t>
        </is>
      </c>
      <c r="AE4" s="16" t="inlineStr">
        <is>
          <t>UNVERIFIED - needs extraction</t>
        </is>
      </c>
      <c r="AF4" s="16" t="inlineStr">
        <is>
          <t>Verify whether a CDI-only estimate exists.</t>
        </is>
      </c>
    </row>
    <row r="5">
      <c r="A5" s="16" t="inlineStr">
        <is>
          <t>E03</t>
        </is>
      </c>
      <c r="B5" s="16" t="inlineStr">
        <is>
          <t>S03</t>
        </is>
      </c>
      <c r="C5" s="16" t="inlineStr">
        <is>
          <t>Doxycycline</t>
        </is>
      </c>
      <c r="D5" s="16" t="inlineStr">
        <is>
          <t>Individual tetracycline agent</t>
        </is>
      </c>
      <c r="E5" s="16" t="inlineStr">
        <is>
          <t>Other antibiotics (pooled)</t>
        </is>
      </c>
      <c r="F5" s="16" t="inlineStr"/>
      <c r="G5" s="16" t="inlineStr">
        <is>
          <t>Overall / primary</t>
        </is>
      </c>
      <c r="H5" s="16" t="inlineStr">
        <is>
          <t>aOR</t>
        </is>
      </c>
      <c r="I5" s="16" t="inlineStr">
        <is>
          <t>Adjusted (multivariable)</t>
        </is>
      </c>
      <c r="J5" s="16" t="n">
        <v>0.41</v>
      </c>
      <c r="K5" s="16" t="n">
        <v>0.26</v>
      </c>
      <c r="L5" s="16" t="n">
        <v>0.62</v>
      </c>
      <c r="M5" s="16" t="n">
        <v>95</v>
      </c>
      <c r="N5" s="16" t="inlineStr"/>
      <c r="O5" s="16" t="inlineStr"/>
      <c r="P5" s="16" t="inlineStr"/>
      <c r="Q5" s="16" t="inlineStr"/>
      <c r="R5" s="16" t="inlineStr"/>
      <c r="S5" s="19">
        <f>IF(M5="",1.96,IF(M5=90,1.645,IF(M5=99,2.576,1.96)))</f>
        <v/>
      </c>
      <c r="T5" s="19">
        <f>IFERROR(LN(J5),"")</f>
        <v/>
      </c>
      <c r="U5" s="19">
        <f>IFERROR((LN(L5)-LN(K5))/(2*S5),"")</f>
        <v/>
      </c>
      <c r="V5" s="19">
        <f>IFERROR(LN((O5*R5)/(P5*Q5)),"")</f>
        <v/>
      </c>
      <c r="W5" s="19">
        <f>IFERROR(SQRT(1/O5+1/P5+1/Q5+1/R5),"")</f>
        <v/>
      </c>
      <c r="X5" s="19">
        <f>IFERROR(IF(T5&lt;&gt;"",T5,V5),"")</f>
        <v/>
      </c>
      <c r="Y5" s="19">
        <f>IFERROR(IF(U5&lt;&gt;"",U5,W5),"")</f>
        <v/>
      </c>
      <c r="Z5" s="19">
        <f>IFERROR(EXP(X5),"")</f>
        <v/>
      </c>
      <c r="AA5" s="16" t="inlineStr">
        <is>
          <t>Yes</t>
        </is>
      </c>
      <c r="AB5" s="19">
        <f>IF(AA5="Yes",B5,"")</f>
        <v/>
      </c>
      <c r="AC5" s="16" t="inlineStr">
        <is>
          <t>Crude 0.55</t>
        </is>
      </c>
      <c r="AD5" s="16" t="inlineStr">
        <is>
          <t>source table (see PDF)</t>
        </is>
      </c>
      <c r="AE5" s="16" t="inlineStr">
        <is>
          <t>UNVERIFIED - needs extraction</t>
        </is>
      </c>
      <c r="AF5" s="16" t="inlineStr">
        <is>
          <t>Protective; metronidazole also 0.67.</t>
        </is>
      </c>
    </row>
    <row r="6">
      <c r="A6" s="16" t="inlineStr">
        <is>
          <t>E04</t>
        </is>
      </c>
      <c r="B6" s="16" t="inlineStr">
        <is>
          <t>S04</t>
        </is>
      </c>
      <c r="C6" s="16" t="inlineStr">
        <is>
          <t>Tetracyclines (class, pooled)</t>
        </is>
      </c>
      <c r="D6" s="16" t="inlineStr">
        <is>
          <t>Tetracycline-class (pooled)</t>
        </is>
      </c>
      <c r="E6" s="16" t="inlineStr">
        <is>
          <t>Other antibiotics (pooled)</t>
        </is>
      </c>
      <c r="F6" s="16" t="inlineStr">
        <is>
          <t>IBD patients</t>
        </is>
      </c>
      <c r="G6" s="16" t="inlineStr">
        <is>
          <t>Overall / primary</t>
        </is>
      </c>
      <c r="H6" s="16" t="inlineStr">
        <is>
          <t>OR</t>
        </is>
      </c>
      <c r="I6" s="16" t="inlineStr">
        <is>
          <t>Unclear</t>
        </is>
      </c>
      <c r="J6" s="16" t="inlineStr"/>
      <c r="K6" s="16" t="inlineStr"/>
      <c r="L6" s="16" t="inlineStr"/>
      <c r="M6" s="16" t="n">
        <v>95</v>
      </c>
      <c r="N6" s="16" t="inlineStr"/>
      <c r="O6" s="16" t="inlineStr"/>
      <c r="P6" s="16" t="inlineStr"/>
      <c r="Q6" s="16" t="inlineStr"/>
      <c r="R6" s="16" t="inlineStr"/>
      <c r="S6" s="19">
        <f>IF(M6="",1.96,IF(M6=90,1.645,IF(M6=99,2.576,1.96)))</f>
        <v/>
      </c>
      <c r="T6" s="19">
        <f>IFERROR(LN(J6),"")</f>
        <v/>
      </c>
      <c r="U6" s="19">
        <f>IFERROR((LN(L6)-LN(K6))/(2*S6),"")</f>
        <v/>
      </c>
      <c r="V6" s="19">
        <f>IFERROR(LN((O6*R6)/(P6*Q6)),"")</f>
        <v/>
      </c>
      <c r="W6" s="19">
        <f>IFERROR(SQRT(1/O6+1/P6+1/Q6+1/R6),"")</f>
        <v/>
      </c>
      <c r="X6" s="19">
        <f>IFERROR(IF(T6&lt;&gt;"",T6,V6),"")</f>
        <v/>
      </c>
      <c r="Y6" s="19">
        <f>IFERROR(IF(U6&lt;&gt;"",U6,W6),"")</f>
        <v/>
      </c>
      <c r="Z6" s="19">
        <f>IFERROR(EXP(X6),"")</f>
        <v/>
      </c>
      <c r="AA6" s="16" t="inlineStr">
        <is>
          <t>Maybe</t>
        </is>
      </c>
      <c r="AB6" s="19">
        <f>IF(AA6="Yes",B6,"")</f>
        <v/>
      </c>
      <c r="AC6" s="16" t="inlineStr">
        <is>
          <t>IBD subgroup; matched; exact OR not extracted (p=0.010)</t>
        </is>
      </c>
      <c r="AD6" s="16" t="inlineStr">
        <is>
          <t>source table (see PDF)</t>
        </is>
      </c>
      <c r="AE6" s="16" t="inlineStr">
        <is>
          <t>UNVERIFIED - needs extraction</t>
        </is>
      </c>
      <c r="AF6" s="16" t="inlineStr">
        <is>
          <t>Extract adjusted OR from source.</t>
        </is>
      </c>
    </row>
    <row r="7">
      <c r="A7" s="16" t="inlineStr">
        <is>
          <t>E05</t>
        </is>
      </c>
      <c r="B7" s="16" t="inlineStr">
        <is>
          <t>S06</t>
        </is>
      </c>
      <c r="C7" s="16" t="inlineStr">
        <is>
          <t>Tetracyclines (class, pooled)</t>
        </is>
      </c>
      <c r="D7" s="16" t="inlineStr">
        <is>
          <t>Tetracycline-class (pooled)</t>
        </is>
      </c>
      <c r="E7" s="16" t="inlineStr">
        <is>
          <t>Other antibiotics (pooled)</t>
        </is>
      </c>
      <c r="F7" s="16" t="inlineStr"/>
      <c r="G7" s="16" t="inlineStr">
        <is>
          <t>Adjusted analysis</t>
        </is>
      </c>
      <c r="H7" s="16" t="inlineStr">
        <is>
          <t>aOR</t>
        </is>
      </c>
      <c r="I7" s="16" t="inlineStr">
        <is>
          <t>Adjusted (multivariable)</t>
        </is>
      </c>
      <c r="J7" s="16" t="n">
        <v>0.93</v>
      </c>
      <c r="K7" s="16" t="n">
        <v>0.79</v>
      </c>
      <c r="L7" s="16" t="n">
        <v>1.08</v>
      </c>
      <c r="M7" s="16" t="n">
        <v>95</v>
      </c>
      <c r="N7" s="16" t="inlineStr"/>
      <c r="O7" s="16" t="inlineStr"/>
      <c r="P7" s="16" t="inlineStr"/>
      <c r="Q7" s="16" t="inlineStr"/>
      <c r="R7" s="16" t="inlineStr"/>
      <c r="S7" s="19">
        <f>IF(M7="",1.96,IF(M7=90,1.645,IF(M7=99,2.576,1.96)))</f>
        <v/>
      </c>
      <c r="T7" s="19">
        <f>IFERROR(LN(J7),"")</f>
        <v/>
      </c>
      <c r="U7" s="19">
        <f>IFERROR((LN(L7)-LN(K7))/(2*S7),"")</f>
        <v/>
      </c>
      <c r="V7" s="19">
        <f>IFERROR(LN((O7*R7)/(P7*Q7)),"")</f>
        <v/>
      </c>
      <c r="W7" s="19">
        <f>IFERROR(SQRT(1/O7+1/P7+1/Q7+1/R7),"")</f>
        <v/>
      </c>
      <c r="X7" s="19">
        <f>IFERROR(IF(T7&lt;&gt;"",T7,V7),"")</f>
        <v/>
      </c>
      <c r="Y7" s="19">
        <f>IFERROR(IF(U7&lt;&gt;"",U7,W7),"")</f>
        <v/>
      </c>
      <c r="Z7" s="19">
        <f>IFERROR(EXP(X7),"")</f>
        <v/>
      </c>
      <c r="AA7" s="16" t="inlineStr">
        <is>
          <t>Yes</t>
        </is>
      </c>
      <c r="AB7" s="19">
        <f>IF(AA7="Yes",B7,"")</f>
        <v/>
      </c>
      <c r="AC7" s="16" t="inlineStr">
        <is>
          <t>Crude 2.03 (1.82-2.27)</t>
        </is>
      </c>
      <c r="AD7" s="16" t="inlineStr">
        <is>
          <t>source table (see PDF)</t>
        </is>
      </c>
      <c r="AE7" s="16" t="inlineStr">
        <is>
          <t>UNVERIFIED - needs extraction</t>
        </is>
      </c>
      <c r="AF7" s="16" t="inlineStr">
        <is>
          <t>Swedish population-based.</t>
        </is>
      </c>
    </row>
    <row r="8">
      <c r="A8" s="16" t="inlineStr">
        <is>
          <t>E06</t>
        </is>
      </c>
      <c r="B8" s="16" t="inlineStr">
        <is>
          <t>S09</t>
        </is>
      </c>
      <c r="C8" s="16" t="inlineStr">
        <is>
          <t>Tetracycline</t>
        </is>
      </c>
      <c r="D8" s="16" t="inlineStr">
        <is>
          <t>Individual tetracycline agent</t>
        </is>
      </c>
      <c r="E8" s="16" t="inlineStr">
        <is>
          <t>Other antibiotics (pooled)</t>
        </is>
      </c>
      <c r="F8" s="16" t="inlineStr"/>
      <c r="G8" s="16" t="inlineStr">
        <is>
          <t>Adjusted analysis</t>
        </is>
      </c>
      <c r="H8" s="16" t="inlineStr">
        <is>
          <t>aOR</t>
        </is>
      </c>
      <c r="I8" s="16" t="inlineStr">
        <is>
          <t>Adjusted (multivariable)</t>
        </is>
      </c>
      <c r="J8" s="16" t="n">
        <v>0.9399999999999999</v>
      </c>
      <c r="K8" s="16" t="n">
        <v>0.65</v>
      </c>
      <c r="L8" s="16" t="n">
        <v>1.11</v>
      </c>
      <c r="M8" s="16" t="n">
        <v>95</v>
      </c>
      <c r="N8" s="16" t="inlineStr"/>
      <c r="O8" s="16" t="inlineStr"/>
      <c r="P8" s="16" t="inlineStr"/>
      <c r="Q8" s="16" t="inlineStr"/>
      <c r="R8" s="16" t="inlineStr"/>
      <c r="S8" s="19">
        <f>IF(M8="",1.96,IF(M8=90,1.645,IF(M8=99,2.576,1.96)))</f>
        <v/>
      </c>
      <c r="T8" s="19">
        <f>IFERROR(LN(J8),"")</f>
        <v/>
      </c>
      <c r="U8" s="19">
        <f>IFERROR((LN(L8)-LN(K8))/(2*S8),"")</f>
        <v/>
      </c>
      <c r="V8" s="19">
        <f>IFERROR(LN((O8*R8)/(P8*Q8)),"")</f>
        <v/>
      </c>
      <c r="W8" s="19">
        <f>IFERROR(SQRT(1/O8+1/P8+1/Q8+1/R8),"")</f>
        <v/>
      </c>
      <c r="X8" s="19">
        <f>IFERROR(IF(T8&lt;&gt;"",T8,V8),"")</f>
        <v/>
      </c>
      <c r="Y8" s="19">
        <f>IFERROR(IF(U8&lt;&gt;"",U8,W8),"")</f>
        <v/>
      </c>
      <c r="Z8" s="19">
        <f>IFERROR(EXP(X8),"")</f>
        <v/>
      </c>
      <c r="AA8" s="16" t="inlineStr">
        <is>
          <t>Yes</t>
        </is>
      </c>
      <c r="AB8" s="19">
        <f>IF(AA8="Yes",B8,"")</f>
        <v/>
      </c>
      <c r="AC8" s="16" t="inlineStr">
        <is>
          <t>Comparative CDI risk; also 1.06 (0.65-1.23)</t>
        </is>
      </c>
      <c r="AD8" s="16" t="inlineStr">
        <is>
          <t>source table (see PDF)</t>
        </is>
      </c>
      <c r="AE8" s="16" t="inlineStr">
        <is>
          <t>UNVERIFIED - needs extraction</t>
        </is>
      </c>
      <c r="AF8" s="16" t="inlineStr">
        <is>
          <t>Confirm adjusted vs crude column.</t>
        </is>
      </c>
    </row>
    <row r="9">
      <c r="A9" s="16" t="inlineStr">
        <is>
          <t>E07</t>
        </is>
      </c>
      <c r="B9" s="16" t="inlineStr">
        <is>
          <t>S11</t>
        </is>
      </c>
      <c r="C9" s="16" t="inlineStr">
        <is>
          <t>Doxycycline</t>
        </is>
      </c>
      <c r="D9" s="16" t="inlineStr">
        <is>
          <t>Individual tetracycline agent</t>
        </is>
      </c>
      <c r="E9" s="16" t="inlineStr">
        <is>
          <t>Other antibiotics (pooled)</t>
        </is>
      </c>
      <c r="F9" s="16" t="inlineStr"/>
      <c r="G9" s="16" t="inlineStr">
        <is>
          <t>Overall / primary</t>
        </is>
      </c>
      <c r="H9" s="16" t="inlineStr">
        <is>
          <t>aOR</t>
        </is>
      </c>
      <c r="I9" s="16" t="inlineStr">
        <is>
          <t>Adjusted (multivariable)</t>
        </is>
      </c>
      <c r="J9" s="16" t="n">
        <v>0.9399999999999999</v>
      </c>
      <c r="K9" s="16" t="n">
        <v>0.89</v>
      </c>
      <c r="L9" s="16" t="n">
        <v>0.99</v>
      </c>
      <c r="M9" s="16" t="n">
        <v>95</v>
      </c>
      <c r="N9" s="16" t="inlineStr"/>
      <c r="O9" s="16" t="inlineStr"/>
      <c r="P9" s="16" t="inlineStr"/>
      <c r="Q9" s="16" t="inlineStr"/>
      <c r="R9" s="16" t="inlineStr"/>
      <c r="S9" s="19">
        <f>IF(M9="",1.96,IF(M9=90,1.645,IF(M9=99,2.576,1.96)))</f>
        <v/>
      </c>
      <c r="T9" s="19">
        <f>IFERROR(LN(J9),"")</f>
        <v/>
      </c>
      <c r="U9" s="19">
        <f>IFERROR((LN(L9)-LN(K9))/(2*S9),"")</f>
        <v/>
      </c>
      <c r="V9" s="19">
        <f>IFERROR(LN((O9*R9)/(P9*Q9)),"")</f>
        <v/>
      </c>
      <c r="W9" s="19">
        <f>IFERROR(SQRT(1/O9+1/P9+1/Q9+1/R9),"")</f>
        <v/>
      </c>
      <c r="X9" s="19">
        <f>IFERROR(IF(T9&lt;&gt;"",T9,V9),"")</f>
        <v/>
      </c>
      <c r="Y9" s="19">
        <f>IFERROR(IF(U9&lt;&gt;"",U9,W9),"")</f>
        <v/>
      </c>
      <c r="Z9" s="19">
        <f>IFERROR(EXP(X9),"")</f>
        <v/>
      </c>
      <c r="AA9" s="16" t="inlineStr">
        <is>
          <t>Yes</t>
        </is>
      </c>
      <c r="AB9" s="19">
        <f>IF(AA9="Yes",B9,"")</f>
        <v/>
      </c>
      <c r="AC9" s="16" t="inlineStr">
        <is>
          <t>Value from full text (protective)</t>
        </is>
      </c>
      <c r="AD9" s="16" t="inlineStr">
        <is>
          <t>source table (see PDF)</t>
        </is>
      </c>
      <c r="AE9" s="16" t="inlineStr">
        <is>
          <t>UNVERIFIED - needs extraction</t>
        </is>
      </c>
      <c r="AF9" s="16" t="inlineStr">
        <is>
          <t>Very large cohort (~51M encounters).</t>
        </is>
      </c>
    </row>
    <row r="10">
      <c r="A10" s="16" t="inlineStr">
        <is>
          <t>E08</t>
        </is>
      </c>
      <c r="B10" s="16" t="inlineStr">
        <is>
          <t>S13</t>
        </is>
      </c>
      <c r="C10" s="16" t="inlineStr">
        <is>
          <t>Tetracyclines (class, pooled)</t>
        </is>
      </c>
      <c r="D10" s="16" t="inlineStr">
        <is>
          <t>Tetracycline-class (pooled)</t>
        </is>
      </c>
      <c r="E10" s="16" t="inlineStr">
        <is>
          <t>Other antibiotics (pooled)</t>
        </is>
      </c>
      <c r="F10" s="16" t="inlineStr"/>
      <c r="G10" s="16" t="inlineStr">
        <is>
          <t>Overall / primary</t>
        </is>
      </c>
      <c r="H10" s="16" t="inlineStr">
        <is>
          <t>OR</t>
        </is>
      </c>
      <c r="I10" s="16" t="inlineStr">
        <is>
          <t>Crude / unadjusted</t>
        </is>
      </c>
      <c r="J10" s="16" t="n">
        <v>0.9</v>
      </c>
      <c r="K10" s="16" t="inlineStr"/>
      <c r="L10" s="16" t="inlineStr"/>
      <c r="M10" s="16" t="n">
        <v>95</v>
      </c>
      <c r="N10" s="16" t="inlineStr"/>
      <c r="O10" s="16" t="inlineStr"/>
      <c r="P10" s="16" t="inlineStr"/>
      <c r="Q10" s="16" t="inlineStr"/>
      <c r="R10" s="16" t="inlineStr"/>
      <c r="S10" s="19">
        <f>IF(M10="",1.96,IF(M10=90,1.645,IF(M10=99,2.576,1.96)))</f>
        <v/>
      </c>
      <c r="T10" s="19">
        <f>IFERROR(LN(J10),"")</f>
        <v/>
      </c>
      <c r="U10" s="19">
        <f>IFERROR((LN(L10)-LN(K10))/(2*S10),"")</f>
        <v/>
      </c>
      <c r="V10" s="19">
        <f>IFERROR(LN((O10*R10)/(P10*Q10)),"")</f>
        <v/>
      </c>
      <c r="W10" s="19">
        <f>IFERROR(SQRT(1/O10+1/P10+1/Q10+1/R10),"")</f>
        <v/>
      </c>
      <c r="X10" s="19">
        <f>IFERROR(IF(T10&lt;&gt;"",T10,V10),"")</f>
        <v/>
      </c>
      <c r="Y10" s="19">
        <f>IFERROR(IF(U10&lt;&gt;"",U10,W10),"")</f>
        <v/>
      </c>
      <c r="Z10" s="19">
        <f>IFERROR(EXP(X10),"")</f>
        <v/>
      </c>
      <c r="AA10" s="16" t="inlineStr">
        <is>
          <t>Maybe</t>
        </is>
      </c>
      <c r="AB10" s="19">
        <f>IF(AA10="Yes",B10,"")</f>
        <v/>
      </c>
      <c r="AC10" s="16" t="inlineStr">
        <is>
          <t>No CI reported; doxycycline often combined with macrolides</t>
        </is>
      </c>
      <c r="AD10" s="16" t="inlineStr">
        <is>
          <t>source table (see PDF)</t>
        </is>
      </c>
      <c r="AE10" s="16" t="inlineStr">
        <is>
          <t>UNVERIFIED - needs extraction</t>
        </is>
      </c>
      <c r="AF10" s="16" t="inlineStr">
        <is>
          <t>Extract CI if available.</t>
        </is>
      </c>
    </row>
    <row r="11">
      <c r="A11" s="16" t="inlineStr">
        <is>
          <t>E09</t>
        </is>
      </c>
      <c r="B11" s="16" t="inlineStr">
        <is>
          <t>S14</t>
        </is>
      </c>
      <c r="C11" s="16" t="inlineStr">
        <is>
          <t>Tetracyclines (class, pooled)</t>
        </is>
      </c>
      <c r="D11" s="16" t="inlineStr">
        <is>
          <t>Tetracycline-class (pooled)</t>
        </is>
      </c>
      <c r="E11" s="16" t="inlineStr">
        <is>
          <t>Reference category (multivariable)</t>
        </is>
      </c>
      <c r="F11" s="16" t="inlineStr"/>
      <c r="G11" s="16" t="inlineStr">
        <is>
          <t>Overall / primary</t>
        </is>
      </c>
      <c r="H11" s="16" t="inlineStr">
        <is>
          <t>aOR</t>
        </is>
      </c>
      <c r="I11" s="16" t="inlineStr">
        <is>
          <t>Adjusted (multivariable)</t>
        </is>
      </c>
      <c r="J11" s="16" t="n">
        <v>22.459</v>
      </c>
      <c r="K11" s="16" t="n">
        <v>2.447</v>
      </c>
      <c r="L11" s="16" t="n">
        <v>206.121</v>
      </c>
      <c r="M11" s="16" t="n">
        <v>95</v>
      </c>
      <c r="N11" s="16" t="inlineStr"/>
      <c r="O11" s="16" t="inlineStr"/>
      <c r="P11" s="16" t="inlineStr"/>
      <c r="Q11" s="16" t="inlineStr"/>
      <c r="R11" s="16" t="inlineStr"/>
      <c r="S11" s="19">
        <f>IF(M11="",1.96,IF(M11=90,1.645,IF(M11=99,2.576,1.96)))</f>
        <v/>
      </c>
      <c r="T11" s="19">
        <f>IFERROR(LN(J11),"")</f>
        <v/>
      </c>
      <c r="U11" s="19">
        <f>IFERROR((LN(L11)-LN(K11))/(2*S11),"")</f>
        <v/>
      </c>
      <c r="V11" s="19">
        <f>IFERROR(LN((O11*R11)/(P11*Q11)),"")</f>
        <v/>
      </c>
      <c r="W11" s="19">
        <f>IFERROR(SQRT(1/O11+1/P11+1/Q11+1/R11),"")</f>
        <v/>
      </c>
      <c r="X11" s="19">
        <f>IFERROR(IF(T11&lt;&gt;"",T11,V11),"")</f>
        <v/>
      </c>
      <c r="Y11" s="19">
        <f>IFERROR(IF(U11&lt;&gt;"",U11,W11),"")</f>
        <v/>
      </c>
      <c r="Z11" s="19">
        <f>IFERROR(EXP(X11),"")</f>
        <v/>
      </c>
      <c r="AA11" s="16" t="inlineStr">
        <is>
          <t>Yes</t>
        </is>
      </c>
      <c r="AB11" s="19">
        <f>IF(AA11="Yes",B11,"")</f>
        <v/>
      </c>
      <c r="AC11" s="16" t="inlineStr">
        <is>
          <t>Univariable 15.214</t>
        </is>
      </c>
      <c r="AD11" s="16" t="inlineStr">
        <is>
          <t>source table (see PDF)</t>
        </is>
      </c>
      <c r="AE11" s="16" t="inlineStr">
        <is>
          <t>UNVERIFIED - needs extraction</t>
        </is>
      </c>
      <c r="AF11" s="16" t="inlineStr">
        <is>
          <t>Very wide CI - verify.</t>
        </is>
      </c>
    </row>
    <row r="12">
      <c r="A12" s="16" t="inlineStr">
        <is>
          <t>E10</t>
        </is>
      </c>
      <c r="B12" s="16" t="inlineStr">
        <is>
          <t>S16</t>
        </is>
      </c>
      <c r="C12" s="16" t="inlineStr">
        <is>
          <t>Doxycycline</t>
        </is>
      </c>
      <c r="D12" s="16" t="inlineStr">
        <is>
          <t>Individual tetracycline agent</t>
        </is>
      </c>
      <c r="E12" s="16" t="inlineStr">
        <is>
          <t>Other antibiotics (pooled)</t>
        </is>
      </c>
      <c r="F12" s="16" t="inlineStr"/>
      <c r="G12" s="16" t="inlineStr">
        <is>
          <t>Overall / primary</t>
        </is>
      </c>
      <c r="H12" s="16" t="inlineStr">
        <is>
          <t>OR</t>
        </is>
      </c>
      <c r="I12" s="16" t="inlineStr">
        <is>
          <t>Unclear</t>
        </is>
      </c>
      <c r="J12" s="16" t="inlineStr"/>
      <c r="K12" s="16" t="inlineStr"/>
      <c r="L12" s="16" t="inlineStr"/>
      <c r="M12" s="16" t="n">
        <v>95</v>
      </c>
      <c r="N12" s="16" t="inlineStr"/>
      <c r="O12" s="16" t="inlineStr"/>
      <c r="P12" s="16" t="inlineStr"/>
      <c r="Q12" s="16" t="inlineStr"/>
      <c r="R12" s="16" t="inlineStr"/>
      <c r="S12" s="19">
        <f>IF(M12="",1.96,IF(M12=90,1.645,IF(M12=99,2.576,1.96)))</f>
        <v/>
      </c>
      <c r="T12" s="19">
        <f>IFERROR(LN(J12),"")</f>
        <v/>
      </c>
      <c r="U12" s="19">
        <f>IFERROR((LN(L12)-LN(K12))/(2*S12),"")</f>
        <v/>
      </c>
      <c r="V12" s="19">
        <f>IFERROR(LN((O12*R12)/(P12*Q12)),"")</f>
        <v/>
      </c>
      <c r="W12" s="19">
        <f>IFERROR(SQRT(1/O12+1/P12+1/Q12+1/R12),"")</f>
        <v/>
      </c>
      <c r="X12" s="19">
        <f>IFERROR(IF(T12&lt;&gt;"",T12,V12),"")</f>
        <v/>
      </c>
      <c r="Y12" s="19">
        <f>IFERROR(IF(U12&lt;&gt;"",U12,W12),"")</f>
        <v/>
      </c>
      <c r="Z12" s="19">
        <f>IFERROR(EXP(X12),"")</f>
        <v/>
      </c>
      <c r="AA12" s="16" t="inlineStr">
        <is>
          <t>Maybe</t>
        </is>
      </c>
      <c r="AB12" s="19">
        <f>IF(AA12="Yes",B12,"")</f>
        <v/>
      </c>
      <c r="AC12" s="16" t="inlineStr">
        <is>
          <t>Reported statistically significant; value not auto-extracted</t>
        </is>
      </c>
      <c r="AD12" s="16" t="inlineStr">
        <is>
          <t>source table (see PDF)</t>
        </is>
      </c>
      <c r="AE12" s="16" t="inlineStr">
        <is>
          <t>UNVERIFIED - needs extraction</t>
        </is>
      </c>
      <c r="AF12" s="16" t="inlineStr">
        <is>
          <t>Extract estimate from source.</t>
        </is>
      </c>
    </row>
    <row r="13">
      <c r="A13" s="16" t="inlineStr">
        <is>
          <t>E11</t>
        </is>
      </c>
      <c r="B13" s="16" t="inlineStr">
        <is>
          <t>S17</t>
        </is>
      </c>
      <c r="C13" s="16" t="inlineStr">
        <is>
          <t>Tetracyclines (class, pooled)</t>
        </is>
      </c>
      <c r="D13" s="16" t="inlineStr">
        <is>
          <t>Tetracycline-class (pooled)</t>
        </is>
      </c>
      <c r="E13" s="16" t="inlineStr">
        <is>
          <t>Other antibiotics (pooled)</t>
        </is>
      </c>
      <c r="F13" s="16" t="inlineStr"/>
      <c r="G13" s="16" t="inlineStr">
        <is>
          <t>Overall / primary</t>
        </is>
      </c>
      <c r="H13" s="16" t="inlineStr">
        <is>
          <t>aOR</t>
        </is>
      </c>
      <c r="I13" s="16" t="inlineStr">
        <is>
          <t>Adjusted (multivariable)</t>
        </is>
      </c>
      <c r="J13" s="16" t="n">
        <v>0.9</v>
      </c>
      <c r="K13" s="16" t="n">
        <v>0.5</v>
      </c>
      <c r="L13" s="16" t="n">
        <v>1.5</v>
      </c>
      <c r="M13" s="16" t="n">
        <v>95</v>
      </c>
      <c r="N13" s="16" t="inlineStr"/>
      <c r="O13" s="16" t="inlineStr"/>
      <c r="P13" s="16" t="inlineStr"/>
      <c r="Q13" s="16" t="inlineStr"/>
      <c r="R13" s="16" t="inlineStr"/>
      <c r="S13" s="20">
        <f>IF(M13="",1.96,IF(M13=90,1.645,IF(M13=99,2.576,1.96)))</f>
        <v/>
      </c>
      <c r="T13" s="20">
        <f>IFERROR(LN(J13),"")</f>
        <v/>
      </c>
      <c r="U13" s="20">
        <f>IFERROR((LN(L13)-LN(K13))/(2*S13),"")</f>
        <v/>
      </c>
      <c r="V13" s="20">
        <f>IFERROR(LN((O13*R13)/(P13*Q13)),"")</f>
        <v/>
      </c>
      <c r="W13" s="20">
        <f>IFERROR(SQRT(1/O13+1/P13+1/Q13+1/R13),"")</f>
        <v/>
      </c>
      <c r="X13" s="20">
        <f>IFERROR(IF(T13&lt;&gt;"",T13,V13),"")</f>
        <v/>
      </c>
      <c r="Y13" s="20">
        <f>IFERROR(IF(U13&lt;&gt;"",U13,W13),"")</f>
        <v/>
      </c>
      <c r="Z13" s="20">
        <f>IFERROR(EXP(X13),"")</f>
        <v/>
      </c>
      <c r="AA13" s="16" t="inlineStr">
        <is>
          <t>Yes</t>
        </is>
      </c>
      <c r="AB13" s="20">
        <f>IF(AA13="Yes",B13,"")</f>
        <v/>
      </c>
      <c r="AC13" s="16" t="inlineStr"/>
      <c r="AD13" s="16" t="inlineStr">
        <is>
          <t>source table (see PDF)</t>
        </is>
      </c>
      <c r="AE13" s="16" t="inlineStr">
        <is>
          <t>UNVERIFIED - needs extraction</t>
        </is>
      </c>
      <c r="AF13" s="16" t="inlineStr">
        <is>
          <t>GPRD case-control.</t>
        </is>
      </c>
    </row>
    <row r="14">
      <c r="A14" s="16" t="inlineStr">
        <is>
          <t>E12</t>
        </is>
      </c>
      <c r="B14" s="16" t="inlineStr">
        <is>
          <t>S18</t>
        </is>
      </c>
      <c r="C14" s="16" t="inlineStr">
        <is>
          <t>Tetracyclines (class, pooled)</t>
        </is>
      </c>
      <c r="D14" s="16" t="inlineStr">
        <is>
          <t>Tetracycline-class (pooled)</t>
        </is>
      </c>
      <c r="E14" s="16" t="inlineStr">
        <is>
          <t>No antibiotic / unexposed</t>
        </is>
      </c>
      <c r="F14" s="16" t="inlineStr"/>
      <c r="G14" s="16" t="inlineStr">
        <is>
          <t>Overall / primary</t>
        </is>
      </c>
      <c r="H14" s="16" t="inlineStr">
        <is>
          <t>RR</t>
        </is>
      </c>
      <c r="I14" s="16" t="inlineStr">
        <is>
          <t>Adjusted (multivariable)</t>
        </is>
      </c>
      <c r="J14" s="16" t="n">
        <v>1.1</v>
      </c>
      <c r="K14" s="16" t="n">
        <v>0.1</v>
      </c>
      <c r="L14" s="16" t="n">
        <v>8.6</v>
      </c>
      <c r="M14" s="16" t="n">
        <v>95</v>
      </c>
      <c r="N14" s="16" t="inlineStr"/>
      <c r="O14" s="16" t="inlineStr"/>
      <c r="P14" s="16" t="inlineStr"/>
      <c r="Q14" s="16" t="inlineStr"/>
      <c r="R14" s="16" t="inlineStr"/>
      <c r="S14" s="20">
        <f>IF(M14="",1.96,IF(M14=90,1.645,IF(M14=99,2.576,1.96)))</f>
        <v/>
      </c>
      <c r="T14" s="20">
        <f>IFERROR(LN(J14),"")</f>
        <v/>
      </c>
      <c r="U14" s="20">
        <f>IFERROR((LN(L14)-LN(K14))/(2*S14),"")</f>
        <v/>
      </c>
      <c r="V14" s="20">
        <f>IFERROR(LN((O14*R14)/(P14*Q14)),"")</f>
        <v/>
      </c>
      <c r="W14" s="20">
        <f>IFERROR(SQRT(1/O14+1/P14+1/Q14+1/R14),"")</f>
        <v/>
      </c>
      <c r="X14" s="20">
        <f>IFERROR(IF(T14&lt;&gt;"",T14,V14),"")</f>
        <v/>
      </c>
      <c r="Y14" s="20">
        <f>IFERROR(IF(U14&lt;&gt;"",U14,W14),"")</f>
        <v/>
      </c>
      <c r="Z14" s="20">
        <f>IFERROR(EXP(X14),"")</f>
        <v/>
      </c>
      <c r="AA14" s="16" t="inlineStr">
        <is>
          <t>Yes</t>
        </is>
      </c>
      <c r="AB14" s="20">
        <f>IF(AA14="Yes",B14,"")</f>
        <v/>
      </c>
      <c r="AC14" s="16" t="inlineStr"/>
      <c r="AD14" s="16" t="inlineStr">
        <is>
          <t>source table (see PDF)</t>
        </is>
      </c>
      <c r="AE14" s="16" t="inlineStr">
        <is>
          <t>UNVERIFIED - needs extraction</t>
        </is>
      </c>
      <c r="AF14" s="16" t="inlineStr">
        <is>
          <t>Tariq anchor (rate ratio).</t>
        </is>
      </c>
    </row>
    <row r="15">
      <c r="A15" s="16" t="inlineStr">
        <is>
          <t>E13</t>
        </is>
      </c>
      <c r="B15" s="16" t="inlineStr">
        <is>
          <t>S19</t>
        </is>
      </c>
      <c r="C15" s="16" t="inlineStr">
        <is>
          <t>Doxycycline</t>
        </is>
      </c>
      <c r="D15" s="16" t="inlineStr">
        <is>
          <t>Individual tetracycline agent</t>
        </is>
      </c>
      <c r="E15" s="16" t="inlineStr">
        <is>
          <t>Specific class (see detail)</t>
        </is>
      </c>
      <c r="F15" s="16" t="inlineStr">
        <is>
          <t>ceftriaxone recipients +/- doxycycline</t>
        </is>
      </c>
      <c r="G15" s="16" t="inlineStr">
        <is>
          <t>Overall / primary</t>
        </is>
      </c>
      <c r="H15" s="16" t="inlineStr">
        <is>
          <t>aHR</t>
        </is>
      </c>
      <c r="I15" s="16" t="inlineStr">
        <is>
          <t>Adjusted (multivariable)</t>
        </is>
      </c>
      <c r="J15" s="16" t="n">
        <v>0.73</v>
      </c>
      <c r="K15" s="16" t="n">
        <v>0.5600000000000001</v>
      </c>
      <c r="L15" s="16" t="n">
        <v>0.96</v>
      </c>
      <c r="M15" s="16" t="n">
        <v>95</v>
      </c>
      <c r="N15" s="16" t="inlineStr"/>
      <c r="O15" s="16" t="inlineStr"/>
      <c r="P15" s="16" t="inlineStr"/>
      <c r="Q15" s="16" t="inlineStr"/>
      <c r="R15" s="16" t="inlineStr"/>
      <c r="S15" s="20">
        <f>IF(M15="",1.96,IF(M15=90,1.645,IF(M15=99,2.576,1.96)))</f>
        <v/>
      </c>
      <c r="T15" s="20">
        <f>IFERROR(LN(J15),"")</f>
        <v/>
      </c>
      <c r="U15" s="20">
        <f>IFERROR((LN(L15)-LN(K15))/(2*S15),"")</f>
        <v/>
      </c>
      <c r="V15" s="20">
        <f>IFERROR(LN((O15*R15)/(P15*Q15)),"")</f>
        <v/>
      </c>
      <c r="W15" s="20">
        <f>IFERROR(SQRT(1/O15+1/P15+1/Q15+1/R15),"")</f>
        <v/>
      </c>
      <c r="X15" s="20">
        <f>IFERROR(IF(T15&lt;&gt;"",T15,V15),"")</f>
        <v/>
      </c>
      <c r="Y15" s="20">
        <f>IFERROR(IF(U15&lt;&gt;"",U15,W15),"")</f>
        <v/>
      </c>
      <c r="Z15" s="20">
        <f>IFERROR(EXP(X15),"")</f>
        <v/>
      </c>
      <c r="AA15" s="16" t="inlineStr">
        <is>
          <t>Yes</t>
        </is>
      </c>
      <c r="AB15" s="20">
        <f>IF(AA15="Yes",B15,"")</f>
        <v/>
      </c>
      <c r="AC15" s="16" t="inlineStr">
        <is>
          <t>Incidence 1.67 vs 8.11 /10,000 pt-days; crude 0.67</t>
        </is>
      </c>
      <c r="AD15" s="16" t="inlineStr">
        <is>
          <t>source table (see PDF)</t>
        </is>
      </c>
      <c r="AE15" s="16" t="inlineStr">
        <is>
          <t>UNVERIFIED - needs extraction</t>
        </is>
      </c>
      <c r="AF15" s="16" t="inlineStr">
        <is>
          <t>Tariq anchor.</t>
        </is>
      </c>
    </row>
    <row r="16">
      <c r="A16" s="16" t="inlineStr">
        <is>
          <t>E14</t>
        </is>
      </c>
      <c r="B16" s="16" t="inlineStr">
        <is>
          <t>S23</t>
        </is>
      </c>
      <c r="C16" s="16" t="inlineStr">
        <is>
          <t>Tetracycline</t>
        </is>
      </c>
      <c r="D16" s="16" t="inlineStr">
        <is>
          <t>Individual tetracycline agent</t>
        </is>
      </c>
      <c r="E16" s="16" t="inlineStr">
        <is>
          <t>Other antibiotics (pooled)</t>
        </is>
      </c>
      <c r="F16" s="16" t="inlineStr"/>
      <c r="G16" s="16" t="inlineStr">
        <is>
          <t>Overall / primary</t>
        </is>
      </c>
      <c r="H16" s="16" t="inlineStr">
        <is>
          <t>OR</t>
        </is>
      </c>
      <c r="I16" s="16" t="inlineStr">
        <is>
          <t>Crude / unadjusted</t>
        </is>
      </c>
      <c r="J16" s="16" t="n">
        <v>1</v>
      </c>
      <c r="K16" s="16" t="n">
        <v>0.23</v>
      </c>
      <c r="L16" s="16" t="n">
        <v>4.35</v>
      </c>
      <c r="M16" s="16" t="n">
        <v>95</v>
      </c>
      <c r="N16" s="16" t="inlineStr"/>
      <c r="O16" s="16" t="n">
        <v>5</v>
      </c>
      <c r="P16" s="16" t="n">
        <v>5</v>
      </c>
      <c r="Q16" s="16" t="n">
        <v>220</v>
      </c>
      <c r="R16" s="16" t="n">
        <v>218</v>
      </c>
      <c r="S16" s="20">
        <f>IF(M16="",1.96,IF(M16=90,1.645,IF(M16=99,2.576,1.96)))</f>
        <v/>
      </c>
      <c r="T16" s="20">
        <f>IFERROR(LN(J16),"")</f>
        <v/>
      </c>
      <c r="U16" s="20">
        <f>IFERROR((LN(L16)-LN(K16))/(2*S16),"")</f>
        <v/>
      </c>
      <c r="V16" s="20">
        <f>IFERROR(LN((O16*R16)/(P16*Q16)),"")</f>
        <v/>
      </c>
      <c r="W16" s="20">
        <f>IFERROR(SQRT(1/O16+1/P16+1/Q16+1/R16),"")</f>
        <v/>
      </c>
      <c r="X16" s="20">
        <f>IFERROR(IF(T16&lt;&gt;"",T16,V16),"")</f>
        <v/>
      </c>
      <c r="Y16" s="20">
        <f>IFERROR(IF(U16&lt;&gt;"",U16,W16),"")</f>
        <v/>
      </c>
      <c r="Z16" s="20">
        <f>IFERROR(EXP(X16),"")</f>
        <v/>
      </c>
      <c r="AA16" s="16" t="inlineStr">
        <is>
          <t>Yes</t>
        </is>
      </c>
      <c r="AB16" s="20">
        <f>IF(AA16="Yes",B16,"")</f>
        <v/>
      </c>
      <c r="AC16" s="16" t="inlineStr">
        <is>
          <t>2x2 from counts 5/225 vs 5/223</t>
        </is>
      </c>
      <c r="AD16" s="16" t="inlineStr">
        <is>
          <t>source table (see PDF)</t>
        </is>
      </c>
      <c r="AE16" s="16" t="inlineStr">
        <is>
          <t>UNVERIFIED - needs extraction</t>
        </is>
      </c>
      <c r="AF16" s="16" t="inlineStr">
        <is>
          <t>CA-CDI.</t>
        </is>
      </c>
    </row>
    <row r="17">
      <c r="A17" s="16" t="inlineStr">
        <is>
          <t>E15</t>
        </is>
      </c>
      <c r="B17" s="16" t="inlineStr">
        <is>
          <t>S24</t>
        </is>
      </c>
      <c r="C17" s="16" t="inlineStr">
        <is>
          <t>Tetracyclines (class, pooled)</t>
        </is>
      </c>
      <c r="D17" s="16" t="inlineStr">
        <is>
          <t>Tetracycline-class (pooled)</t>
        </is>
      </c>
      <c r="E17" s="16" t="inlineStr">
        <is>
          <t>Other antibiotics (pooled)</t>
        </is>
      </c>
      <c r="F17" s="16" t="inlineStr"/>
      <c r="G17" s="16" t="inlineStr">
        <is>
          <t>Adjusted analysis</t>
        </is>
      </c>
      <c r="H17" s="16" t="inlineStr">
        <is>
          <t>aOR</t>
        </is>
      </c>
      <c r="I17" s="16" t="inlineStr">
        <is>
          <t>Adjusted (multivariable)</t>
        </is>
      </c>
      <c r="J17" s="16" t="n">
        <v>1.219</v>
      </c>
      <c r="K17" s="16" t="n">
        <v>0.955</v>
      </c>
      <c r="L17" s="16" t="n">
        <v>1.548</v>
      </c>
      <c r="M17" s="16" t="n">
        <v>95</v>
      </c>
      <c r="N17" s="16" t="inlineStr"/>
      <c r="O17" s="16" t="inlineStr"/>
      <c r="P17" s="16" t="inlineStr"/>
      <c r="Q17" s="16" t="inlineStr"/>
      <c r="R17" s="16" t="inlineStr"/>
      <c r="S17" s="20">
        <f>IF(M17="",1.96,IF(M17=90,1.645,IF(M17=99,2.576,1.96)))</f>
        <v/>
      </c>
      <c r="T17" s="20">
        <f>IFERROR(LN(J17),"")</f>
        <v/>
      </c>
      <c r="U17" s="20">
        <f>IFERROR((LN(L17)-LN(K17))/(2*S17),"")</f>
        <v/>
      </c>
      <c r="V17" s="20">
        <f>IFERROR(LN((O17*R17)/(P17*Q17)),"")</f>
        <v/>
      </c>
      <c r="W17" s="20">
        <f>IFERROR(SQRT(1/O17+1/P17+1/Q17+1/R17),"")</f>
        <v/>
      </c>
      <c r="X17" s="20">
        <f>IFERROR(IF(T17&lt;&gt;"",T17,V17),"")</f>
        <v/>
      </c>
      <c r="Y17" s="20">
        <f>IFERROR(IF(U17&lt;&gt;"",U17,W17),"")</f>
        <v/>
      </c>
      <c r="Z17" s="20">
        <f>IFERROR(EXP(X17),"")</f>
        <v/>
      </c>
      <c r="AA17" s="16" t="inlineStr">
        <is>
          <t>Yes</t>
        </is>
      </c>
      <c r="AB17" s="20">
        <f>IF(AA17="Yes",B17,"")</f>
        <v/>
      </c>
      <c r="AC17" s="16" t="inlineStr">
        <is>
          <t>Crude 1.291 (1.081-1.534)</t>
        </is>
      </c>
      <c r="AD17" s="16" t="inlineStr">
        <is>
          <t>source table (see PDF)</t>
        </is>
      </c>
      <c r="AE17" s="16" t="inlineStr">
        <is>
          <t>UNVERIFIED - needs extraction</t>
        </is>
      </c>
      <c r="AF17" s="16" t="inlineStr">
        <is>
          <t>Hong Kong.</t>
        </is>
      </c>
    </row>
    <row r="18">
      <c r="A18" s="16" t="inlineStr">
        <is>
          <t>E16</t>
        </is>
      </c>
      <c r="B18" s="16" t="inlineStr">
        <is>
          <t>S25</t>
        </is>
      </c>
      <c r="C18" s="16" t="inlineStr">
        <is>
          <t>Tetracyclines (class, pooled)</t>
        </is>
      </c>
      <c r="D18" s="16" t="inlineStr">
        <is>
          <t>Tetracycline-class (pooled)</t>
        </is>
      </c>
      <c r="E18" s="16" t="inlineStr">
        <is>
          <t>Other antibiotics (pooled)</t>
        </is>
      </c>
      <c r="F18" s="16" t="inlineStr"/>
      <c r="G18" s="16" t="inlineStr">
        <is>
          <t>Overall / primary</t>
        </is>
      </c>
      <c r="H18" s="16" t="inlineStr">
        <is>
          <t>OR</t>
        </is>
      </c>
      <c r="I18" s="16" t="inlineStr">
        <is>
          <t>Unclear</t>
        </is>
      </c>
      <c r="J18" s="16" t="inlineStr"/>
      <c r="K18" s="16" t="inlineStr"/>
      <c r="L18" s="16" t="inlineStr"/>
      <c r="M18" s="16" t="n">
        <v>95</v>
      </c>
      <c r="N18" s="16" t="inlineStr"/>
      <c r="O18" s="16" t="inlineStr"/>
      <c r="P18" s="16" t="inlineStr"/>
      <c r="Q18" s="16" t="inlineStr"/>
      <c r="R18" s="16" t="inlineStr"/>
      <c r="S18" s="20">
        <f>IF(M18="",1.96,IF(M18=90,1.645,IF(M18=99,2.576,1.96)))</f>
        <v/>
      </c>
      <c r="T18" s="20">
        <f>IFERROR(LN(J18),"")</f>
        <v/>
      </c>
      <c r="U18" s="20">
        <f>IFERROR((LN(L18)-LN(K18))/(2*S18),"")</f>
        <v/>
      </c>
      <c r="V18" s="20">
        <f>IFERROR(LN((O18*R18)/(P18*Q18)),"")</f>
        <v/>
      </c>
      <c r="W18" s="20">
        <f>IFERROR(SQRT(1/O18+1/P18+1/Q18+1/R18),"")</f>
        <v/>
      </c>
      <c r="X18" s="20">
        <f>IFERROR(IF(T18&lt;&gt;"",T18,V18),"")</f>
        <v/>
      </c>
      <c r="Y18" s="20">
        <f>IFERROR(IF(U18&lt;&gt;"",U18,W18),"")</f>
        <v/>
      </c>
      <c r="Z18" s="20">
        <f>IFERROR(EXP(X18),"")</f>
        <v/>
      </c>
      <c r="AA18" s="16" t="inlineStr">
        <is>
          <t>Maybe</t>
        </is>
      </c>
      <c r="AB18" s="20">
        <f>IF(AA18="Yes",B18,"")</f>
        <v/>
      </c>
      <c r="AC18" s="16" t="inlineStr">
        <is>
          <t>Tetracycline line not auto-detected</t>
        </is>
      </c>
      <c r="AD18" s="16" t="inlineStr">
        <is>
          <t>source table (see PDF)</t>
        </is>
      </c>
      <c r="AE18" s="16" t="inlineStr">
        <is>
          <t>UNVERIFIED - needs extraction</t>
        </is>
      </c>
      <c r="AF18" s="16" t="inlineStr">
        <is>
          <t>Check antibiotic-class risk table.</t>
        </is>
      </c>
    </row>
    <row r="19">
      <c r="A19" s="16" t="inlineStr">
        <is>
          <t>E17</t>
        </is>
      </c>
      <c r="B19" s="16" t="inlineStr">
        <is>
          <t>S27</t>
        </is>
      </c>
      <c r="C19" s="16" t="inlineStr">
        <is>
          <t>Doxycycline</t>
        </is>
      </c>
      <c r="D19" s="16" t="inlineStr">
        <is>
          <t>Individual tetracycline agent</t>
        </is>
      </c>
      <c r="E19" s="16" t="inlineStr">
        <is>
          <t>Specific class (see detail)</t>
        </is>
      </c>
      <c r="F19" s="16" t="inlineStr">
        <is>
          <t>vs azithromycin (CAP)</t>
        </is>
      </c>
      <c r="G19" s="16" t="inlineStr">
        <is>
          <t>Overall / primary</t>
        </is>
      </c>
      <c r="H19" s="16" t="inlineStr">
        <is>
          <t>OR</t>
        </is>
      </c>
      <c r="I19" s="16" t="inlineStr">
        <is>
          <t>Unclear</t>
        </is>
      </c>
      <c r="J19" s="16" t="inlineStr"/>
      <c r="K19" s="16" t="inlineStr"/>
      <c r="L19" s="16" t="inlineStr"/>
      <c r="M19" s="16" t="n">
        <v>95</v>
      </c>
      <c r="N19" s="16" t="inlineStr"/>
      <c r="O19" s="16" t="inlineStr"/>
      <c r="P19" s="16" t="inlineStr"/>
      <c r="Q19" s="16" t="inlineStr"/>
      <c r="R19" s="16" t="inlineStr"/>
      <c r="S19" s="20">
        <f>IF(M19="",1.96,IF(M19=90,1.645,IF(M19=99,2.576,1.96)))</f>
        <v/>
      </c>
      <c r="T19" s="20">
        <f>IFERROR(LN(J19),"")</f>
        <v/>
      </c>
      <c r="U19" s="20">
        <f>IFERROR((LN(L19)-LN(K19))/(2*S19),"")</f>
        <v/>
      </c>
      <c r="V19" s="20">
        <f>IFERROR(LN((O19*R19)/(P19*Q19)),"")</f>
        <v/>
      </c>
      <c r="W19" s="20">
        <f>IFERROR(SQRT(1/O19+1/P19+1/Q19+1/R19),"")</f>
        <v/>
      </c>
      <c r="X19" s="20">
        <f>IFERROR(IF(T19&lt;&gt;"",T19,V19),"")</f>
        <v/>
      </c>
      <c r="Y19" s="20">
        <f>IFERROR(IF(U19&lt;&gt;"",U19,W19),"")</f>
        <v/>
      </c>
      <c r="Z19" s="20">
        <f>IFERROR(EXP(X19),"")</f>
        <v/>
      </c>
      <c r="AA19" s="16" t="inlineStr">
        <is>
          <t>Maybe</t>
        </is>
      </c>
      <c r="AB19" s="20">
        <f>IF(AA19="Yes",B19,"")</f>
        <v/>
      </c>
      <c r="AC19" s="16" t="inlineStr">
        <is>
          <t>Conf abstract; doxycycline substitution</t>
        </is>
      </c>
      <c r="AD19" s="16" t="inlineStr">
        <is>
          <t>source table (see PDF)</t>
        </is>
      </c>
      <c r="AE19" s="16" t="inlineStr">
        <is>
          <t>UNVERIFIED - needs extraction</t>
        </is>
      </c>
      <c r="AF19" s="16" t="inlineStr">
        <is>
          <t>Extract CDI comparison from source.</t>
        </is>
      </c>
    </row>
    <row r="20">
      <c r="A20" s="16" t="inlineStr">
        <is>
          <t>E18</t>
        </is>
      </c>
      <c r="B20" s="16" t="inlineStr">
        <is>
          <t>S28</t>
        </is>
      </c>
      <c r="C20" s="16" t="inlineStr">
        <is>
          <t>Doxycycline</t>
        </is>
      </c>
      <c r="D20" s="16" t="inlineStr">
        <is>
          <t>Individual tetracycline agent</t>
        </is>
      </c>
      <c r="E20" s="16" t="inlineStr">
        <is>
          <t>Other antibiotics (pooled)</t>
        </is>
      </c>
      <c r="F20" s="16" t="inlineStr">
        <is>
          <t>pediatric</t>
        </is>
      </c>
      <c r="G20" s="16" t="inlineStr">
        <is>
          <t>Overall / primary</t>
        </is>
      </c>
      <c r="H20" s="16" t="inlineStr">
        <is>
          <t>OR</t>
        </is>
      </c>
      <c r="I20" s="16" t="inlineStr">
        <is>
          <t>Unclear</t>
        </is>
      </c>
      <c r="J20" s="16" t="inlineStr"/>
      <c r="K20" s="16" t="inlineStr"/>
      <c r="L20" s="16" t="inlineStr"/>
      <c r="M20" s="16" t="n">
        <v>95</v>
      </c>
      <c r="N20" s="16" t="inlineStr"/>
      <c r="O20" s="16" t="inlineStr"/>
      <c r="P20" s="16" t="inlineStr"/>
      <c r="Q20" s="16" t="inlineStr"/>
      <c r="R20" s="16" t="inlineStr"/>
      <c r="S20" s="20">
        <f>IF(M20="",1.96,IF(M20=90,1.645,IF(M20=99,2.576,1.96)))</f>
        <v/>
      </c>
      <c r="T20" s="20">
        <f>IFERROR(LN(J20),"")</f>
        <v/>
      </c>
      <c r="U20" s="20">
        <f>IFERROR((LN(L20)-LN(K20))/(2*S20),"")</f>
        <v/>
      </c>
      <c r="V20" s="20">
        <f>IFERROR(LN((O20*R20)/(P20*Q20)),"")</f>
        <v/>
      </c>
      <c r="W20" s="20">
        <f>IFERROR(SQRT(1/O20+1/P20+1/Q20+1/R20),"")</f>
        <v/>
      </c>
      <c r="X20" s="20">
        <f>IFERROR(IF(T20&lt;&gt;"",T20,V20),"")</f>
        <v/>
      </c>
      <c r="Y20" s="20">
        <f>IFERROR(IF(U20&lt;&gt;"",U20,W20),"")</f>
        <v/>
      </c>
      <c r="Z20" s="20">
        <f>IFERROR(EXP(X20),"")</f>
        <v/>
      </c>
      <c r="AA20" s="16" t="inlineStr">
        <is>
          <t>Maybe</t>
        </is>
      </c>
      <c r="AB20" s="20">
        <f>IF(AA20="Yes",B20,"")</f>
        <v/>
      </c>
      <c r="AC20" s="16" t="inlineStr">
        <is>
          <t>Doxycycline CDI count reported; comparator unclear</t>
        </is>
      </c>
      <c r="AD20" s="16" t="inlineStr">
        <is>
          <t>source table (see PDF)</t>
        </is>
      </c>
      <c r="AE20" s="16" t="inlineStr">
        <is>
          <t>UNVERIFIED - needs extraction</t>
        </is>
      </c>
      <c r="AF20" s="16" t="inlineStr">
        <is>
          <t>Extract estimate.</t>
        </is>
      </c>
    </row>
    <row r="21">
      <c r="A21" s="16" t="inlineStr">
        <is>
          <t>E19</t>
        </is>
      </c>
      <c r="B21" s="16" t="inlineStr">
        <is>
          <t>S32</t>
        </is>
      </c>
      <c r="C21" s="16" t="inlineStr">
        <is>
          <t>Tetracyclines (class, pooled)</t>
        </is>
      </c>
      <c r="D21" s="16" t="inlineStr">
        <is>
          <t>Tetracycline-class (pooled)</t>
        </is>
      </c>
      <c r="E21" s="16" t="inlineStr">
        <is>
          <t>Other antibiotics (pooled)</t>
        </is>
      </c>
      <c r="F21" s="16" t="inlineStr"/>
      <c r="G21" s="16" t="inlineStr">
        <is>
          <t>Adjusted analysis</t>
        </is>
      </c>
      <c r="H21" s="16" t="inlineStr">
        <is>
          <t>aOR</t>
        </is>
      </c>
      <c r="I21" s="16" t="inlineStr">
        <is>
          <t>Adjusted (multivariable)</t>
        </is>
      </c>
      <c r="J21" s="16" t="n">
        <v>0.9399999999999999</v>
      </c>
      <c r="K21" s="16" t="n">
        <v>0.43</v>
      </c>
      <c r="L21" s="16" t="n">
        <v>2.04</v>
      </c>
      <c r="M21" s="16" t="n">
        <v>95</v>
      </c>
      <c r="N21" s="16" t="inlineStr"/>
      <c r="O21" s="16" t="inlineStr"/>
      <c r="P21" s="16" t="inlineStr"/>
      <c r="Q21" s="16" t="inlineStr"/>
      <c r="R21" s="16" t="inlineStr"/>
      <c r="S21" s="20">
        <f>IF(M21="",1.96,IF(M21=90,1.645,IF(M21=99,2.576,1.96)))</f>
        <v/>
      </c>
      <c r="T21" s="20">
        <f>IFERROR(LN(J21),"")</f>
        <v/>
      </c>
      <c r="U21" s="20">
        <f>IFERROR((LN(L21)-LN(K21))/(2*S21),"")</f>
        <v/>
      </c>
      <c r="V21" s="20">
        <f>IFERROR(LN((O21*R21)/(P21*Q21)),"")</f>
        <v/>
      </c>
      <c r="W21" s="20">
        <f>IFERROR(SQRT(1/O21+1/P21+1/Q21+1/R21),"")</f>
        <v/>
      </c>
      <c r="X21" s="20">
        <f>IFERROR(IF(T21&lt;&gt;"",T21,V21),"")</f>
        <v/>
      </c>
      <c r="Y21" s="20">
        <f>IFERROR(IF(U21&lt;&gt;"",U21,W21),"")</f>
        <v/>
      </c>
      <c r="Z21" s="20">
        <f>IFERROR(EXP(X21),"")</f>
        <v/>
      </c>
      <c r="AA21" s="16" t="inlineStr">
        <is>
          <t>Yes</t>
        </is>
      </c>
      <c r="AB21" s="20">
        <f>IF(AA21="Yes",B21,"")</f>
        <v/>
      </c>
      <c r="AC21" s="16" t="inlineStr">
        <is>
          <t>Crude 1.43 (0.75-2.71)</t>
        </is>
      </c>
      <c r="AD21" s="16" t="inlineStr">
        <is>
          <t>source table (see PDF)</t>
        </is>
      </c>
      <c r="AE21" s="16" t="inlineStr">
        <is>
          <t>UNVERIFIED - needs extraction</t>
        </is>
      </c>
      <c r="AF21" s="16" t="inlineStr">
        <is>
          <t>Tariq anchor.</t>
        </is>
      </c>
    </row>
    <row r="22">
      <c r="A22" s="16" t="inlineStr">
        <is>
          <t>E20</t>
        </is>
      </c>
      <c r="B22" s="16" t="inlineStr">
        <is>
          <t>S33</t>
        </is>
      </c>
      <c r="C22" s="16" t="inlineStr">
        <is>
          <t>Tetracyclines (class, pooled)</t>
        </is>
      </c>
      <c r="D22" s="16" t="inlineStr">
        <is>
          <t>Tetracycline-class (pooled)</t>
        </is>
      </c>
      <c r="E22" s="16" t="inlineStr">
        <is>
          <t>Other antibiotics (pooled)</t>
        </is>
      </c>
      <c r="F22" s="16" t="inlineStr"/>
      <c r="G22" s="16" t="inlineStr">
        <is>
          <t>Overall / primary</t>
        </is>
      </c>
      <c r="H22" s="16" t="inlineStr">
        <is>
          <t>OR</t>
        </is>
      </c>
      <c r="I22" s="16" t="inlineStr">
        <is>
          <t>Unclear</t>
        </is>
      </c>
      <c r="J22" s="16" t="inlineStr"/>
      <c r="K22" s="16" t="inlineStr"/>
      <c r="L22" s="16" t="inlineStr"/>
      <c r="M22" s="16" t="n">
        <v>95</v>
      </c>
      <c r="N22" s="16" t="inlineStr"/>
      <c r="O22" s="16" t="inlineStr"/>
      <c r="P22" s="16" t="inlineStr"/>
      <c r="Q22" s="16" t="inlineStr"/>
      <c r="R22" s="16" t="inlineStr"/>
      <c r="S22" s="20">
        <f>IF(M22="",1.96,IF(M22=90,1.645,IF(M22=99,2.576,1.96)))</f>
        <v/>
      </c>
      <c r="T22" s="20">
        <f>IFERROR(LN(J22),"")</f>
        <v/>
      </c>
      <c r="U22" s="20">
        <f>IFERROR((LN(L22)-LN(K22))/(2*S22),"")</f>
        <v/>
      </c>
      <c r="V22" s="20">
        <f>IFERROR(LN((O22*R22)/(P22*Q22)),"")</f>
        <v/>
      </c>
      <c r="W22" s="20">
        <f>IFERROR(SQRT(1/O22+1/P22+1/Q22+1/R22),"")</f>
        <v/>
      </c>
      <c r="X22" s="20">
        <f>IFERROR(IF(T22&lt;&gt;"",T22,V22),"")</f>
        <v/>
      </c>
      <c r="Y22" s="20">
        <f>IFERROR(IF(U22&lt;&gt;"",U22,W22),"")</f>
        <v/>
      </c>
      <c r="Z22" s="20">
        <f>IFERROR(EXP(X22),"")</f>
        <v/>
      </c>
      <c r="AA22" s="16" t="inlineStr">
        <is>
          <t>Maybe</t>
        </is>
      </c>
      <c r="AB22" s="20">
        <f>IF(AA22="Yes",B22,"")</f>
        <v/>
      </c>
      <c r="AC22" s="16" t="inlineStr">
        <is>
          <t>Per-agent CDD incidence/counts (doxy/mino/tetra); no OR vs comparator</t>
        </is>
      </c>
      <c r="AD22" s="16" t="inlineStr">
        <is>
          <t>source table (see PDF)</t>
        </is>
      </c>
      <c r="AE22" s="16" t="inlineStr">
        <is>
          <t>UNVERIFIED - needs extraction</t>
        </is>
      </c>
      <c r="AF22" s="16" t="inlineStr">
        <is>
          <t>Derive 2x2 if possible.</t>
        </is>
      </c>
    </row>
    <row r="23">
      <c r="A23" s="16" t="inlineStr">
        <is>
          <t>E21</t>
        </is>
      </c>
      <c r="B23" s="16" t="inlineStr">
        <is>
          <t>S34</t>
        </is>
      </c>
      <c r="C23" s="16" t="inlineStr">
        <is>
          <t>Tigecycline</t>
        </is>
      </c>
      <c r="D23" s="16" t="inlineStr">
        <is>
          <t>Individual tetracycline agent</t>
        </is>
      </c>
      <c r="E23" s="16" t="inlineStr">
        <is>
          <t>Other antibiotics (pooled)</t>
        </is>
      </c>
      <c r="F23" s="16" t="inlineStr"/>
      <c r="G23" s="16" t="inlineStr">
        <is>
          <t>Overall / primary</t>
        </is>
      </c>
      <c r="H23" s="16" t="inlineStr">
        <is>
          <t>OR</t>
        </is>
      </c>
      <c r="I23" s="16" t="inlineStr">
        <is>
          <t>Adjusted (multivariable)</t>
        </is>
      </c>
      <c r="J23" s="16" t="n">
        <v>0.1</v>
      </c>
      <c r="K23" s="16" t="inlineStr"/>
      <c r="L23" s="16" t="inlineStr"/>
      <c r="M23" s="16" t="n">
        <v>95</v>
      </c>
      <c r="N23" s="16" t="inlineStr"/>
      <c r="O23" s="16" t="inlineStr"/>
      <c r="P23" s="16" t="inlineStr"/>
      <c r="Q23" s="16" t="inlineStr"/>
      <c r="R23" s="16" t="inlineStr"/>
      <c r="S23" s="20">
        <f>IF(M23="",1.96,IF(M23=90,1.645,IF(M23=99,2.576,1.96)))</f>
        <v/>
      </c>
      <c r="T23" s="20">
        <f>IFERROR(LN(J23),"")</f>
        <v/>
      </c>
      <c r="U23" s="20">
        <f>IFERROR((LN(L23)-LN(K23))/(2*S23),"")</f>
        <v/>
      </c>
      <c r="V23" s="20">
        <f>IFERROR(LN((O23*R23)/(P23*Q23)),"")</f>
        <v/>
      </c>
      <c r="W23" s="20">
        <f>IFERROR(SQRT(1/O23+1/P23+1/Q23+1/R23),"")</f>
        <v/>
      </c>
      <c r="X23" s="20">
        <f>IFERROR(IF(T23&lt;&gt;"",T23,V23),"")</f>
        <v/>
      </c>
      <c r="Y23" s="20">
        <f>IFERROR(IF(U23&lt;&gt;"",U23,W23),"")</f>
        <v/>
      </c>
      <c r="Z23" s="20">
        <f>IFERROR(EXP(X23),"")</f>
        <v/>
      </c>
      <c r="AA23" s="16" t="inlineStr">
        <is>
          <t>Maybe</t>
        </is>
      </c>
      <c r="AB23" s="20">
        <f>IF(AA23="Yes",B23,"")</f>
        <v/>
      </c>
      <c r="AC23" s="16" t="inlineStr">
        <is>
          <t>Tigecycline OR 0.10 (CI not fully captured); tetracycline class not separable</t>
        </is>
      </c>
      <c r="AD23" s="16" t="inlineStr">
        <is>
          <t>source table (see PDF)</t>
        </is>
      </c>
      <c r="AE23" s="16" t="inlineStr">
        <is>
          <t>UNVERIFIED - needs extraction</t>
        </is>
      </c>
      <c r="AF23" s="16" t="inlineStr">
        <is>
          <t>Extract full CI.</t>
        </is>
      </c>
    </row>
    <row r="24">
      <c r="A24" s="16" t="inlineStr">
        <is>
          <t>E22</t>
        </is>
      </c>
      <c r="B24" s="16" t="inlineStr">
        <is>
          <t>S37</t>
        </is>
      </c>
      <c r="C24" s="16" t="inlineStr">
        <is>
          <t>Doxycycline</t>
        </is>
      </c>
      <c r="D24" s="16" t="inlineStr">
        <is>
          <t>Individual tetracycline agent</t>
        </is>
      </c>
      <c r="E24" s="16" t="inlineStr">
        <is>
          <t>Other antibiotics (pooled)</t>
        </is>
      </c>
      <c r="F24" s="16" t="inlineStr"/>
      <c r="G24" s="16" t="inlineStr">
        <is>
          <t>Doxycycline-only</t>
        </is>
      </c>
      <c r="H24" s="16" t="inlineStr">
        <is>
          <t>aOR</t>
        </is>
      </c>
      <c r="I24" s="16" t="inlineStr">
        <is>
          <t>Adjusted (multivariable)</t>
        </is>
      </c>
      <c r="J24" s="16" t="n">
        <v>0.96</v>
      </c>
      <c r="K24" s="16" t="n">
        <v>0.89</v>
      </c>
      <c r="L24" s="16" t="n">
        <v>1.02</v>
      </c>
      <c r="M24" s="16" t="n">
        <v>95</v>
      </c>
      <c r="N24" s="16" t="inlineStr"/>
      <c r="O24" s="16" t="inlineStr"/>
      <c r="P24" s="16" t="inlineStr"/>
      <c r="Q24" s="16" t="inlineStr"/>
      <c r="R24" s="16" t="inlineStr"/>
      <c r="S24" s="20">
        <f>IF(M24="",1.96,IF(M24=90,1.645,IF(M24=99,2.576,1.96)))</f>
        <v/>
      </c>
      <c r="T24" s="20">
        <f>IFERROR(LN(J24),"")</f>
        <v/>
      </c>
      <c r="U24" s="20">
        <f>IFERROR((LN(L24)-LN(K24))/(2*S24),"")</f>
        <v/>
      </c>
      <c r="V24" s="20">
        <f>IFERROR(LN((O24*R24)/(P24*Q24)),"")</f>
        <v/>
      </c>
      <c r="W24" s="20">
        <f>IFERROR(SQRT(1/O24+1/P24+1/Q24+1/R24),"")</f>
        <v/>
      </c>
      <c r="X24" s="20">
        <f>IFERROR(IF(T24&lt;&gt;"",T24,V24),"")</f>
        <v/>
      </c>
      <c r="Y24" s="20">
        <f>IFERROR(IF(U24&lt;&gt;"",U24,W24),"")</f>
        <v/>
      </c>
      <c r="Z24" s="20">
        <f>IFERROR(EXP(X24),"")</f>
        <v/>
      </c>
      <c r="AA24" s="16" t="inlineStr">
        <is>
          <t>Yes</t>
        </is>
      </c>
      <c r="AB24" s="20">
        <f>IF(AA24="Yes",B24,"")</f>
        <v/>
      </c>
      <c r="AC24" s="16" t="inlineStr"/>
      <c r="AD24" s="16" t="inlineStr">
        <is>
          <t>source table (see PDF)</t>
        </is>
      </c>
      <c r="AE24" s="16" t="inlineStr">
        <is>
          <t>UNVERIFIED - needs extraction</t>
        </is>
      </c>
      <c r="AF24" s="16" t="inlineStr">
        <is>
          <t>Per-agent analysis.</t>
        </is>
      </c>
    </row>
    <row r="25">
      <c r="A25" s="16" t="inlineStr">
        <is>
          <t>E23</t>
        </is>
      </c>
      <c r="B25" s="16" t="inlineStr">
        <is>
          <t>S37</t>
        </is>
      </c>
      <c r="C25" s="16" t="inlineStr">
        <is>
          <t>Minocycline</t>
        </is>
      </c>
      <c r="D25" s="16" t="inlineStr">
        <is>
          <t>Individual tetracycline agent</t>
        </is>
      </c>
      <c r="E25" s="16" t="inlineStr">
        <is>
          <t>Other antibiotics (pooled)</t>
        </is>
      </c>
      <c r="F25" s="16" t="inlineStr"/>
      <c r="G25" s="16" t="inlineStr">
        <is>
          <t>Other</t>
        </is>
      </c>
      <c r="H25" s="16" t="inlineStr">
        <is>
          <t>aOR</t>
        </is>
      </c>
      <c r="I25" s="16" t="inlineStr">
        <is>
          <t>Adjusted (multivariable)</t>
        </is>
      </c>
      <c r="J25" s="16" t="n">
        <v>0.79</v>
      </c>
      <c r="K25" s="16" t="n">
        <v>0.67</v>
      </c>
      <c r="L25" s="16" t="n">
        <v>0.93</v>
      </c>
      <c r="M25" s="16" t="n">
        <v>95</v>
      </c>
      <c r="N25" s="16" t="inlineStr"/>
      <c r="O25" s="16" t="inlineStr"/>
      <c r="P25" s="16" t="inlineStr"/>
      <c r="Q25" s="16" t="inlineStr"/>
      <c r="R25" s="16" t="inlineStr"/>
      <c r="S25" s="20">
        <f>IF(M25="",1.96,IF(M25=90,1.645,IF(M25=99,2.576,1.96)))</f>
        <v/>
      </c>
      <c r="T25" s="20">
        <f>IFERROR(LN(J25),"")</f>
        <v/>
      </c>
      <c r="U25" s="20">
        <f>IFERROR((LN(L25)-LN(K25))/(2*S25),"")</f>
        <v/>
      </c>
      <c r="V25" s="20">
        <f>IFERROR(LN((O25*R25)/(P25*Q25)),"")</f>
        <v/>
      </c>
      <c r="W25" s="20">
        <f>IFERROR(SQRT(1/O25+1/P25+1/Q25+1/R25),"")</f>
        <v/>
      </c>
      <c r="X25" s="20">
        <f>IFERROR(IF(T25&lt;&gt;"",T25,V25),"")</f>
        <v/>
      </c>
      <c r="Y25" s="20">
        <f>IFERROR(IF(U25&lt;&gt;"",U25,W25),"")</f>
        <v/>
      </c>
      <c r="Z25" s="20">
        <f>IFERROR(EXP(X25),"")</f>
        <v/>
      </c>
      <c r="AA25" s="16" t="inlineStr">
        <is>
          <t>No</t>
        </is>
      </c>
      <c r="AB25" s="20">
        <f>IF(AA25="Yes",B25,"")</f>
        <v/>
      </c>
      <c r="AC25" s="16" t="inlineStr">
        <is>
          <t>Same study (Miller 2023)</t>
        </is>
      </c>
      <c r="AD25" s="16" t="inlineStr">
        <is>
          <t>source table (see PDF)</t>
        </is>
      </c>
      <c r="AE25" s="16" t="inlineStr">
        <is>
          <t>UNVERIFIED - needs extraction</t>
        </is>
      </c>
      <c r="AF25" s="16" t="inlineStr">
        <is>
          <t>Minocycline protective.</t>
        </is>
      </c>
    </row>
    <row r="26">
      <c r="A26" s="16" t="inlineStr">
        <is>
          <t>E24</t>
        </is>
      </c>
      <c r="B26" s="16" t="inlineStr">
        <is>
          <t>S37</t>
        </is>
      </c>
      <c r="C26" s="16" t="inlineStr">
        <is>
          <t>Tetracycline</t>
        </is>
      </c>
      <c r="D26" s="16" t="inlineStr">
        <is>
          <t>Individual tetracycline agent</t>
        </is>
      </c>
      <c r="E26" s="16" t="inlineStr">
        <is>
          <t>Other antibiotics (pooled)</t>
        </is>
      </c>
      <c r="F26" s="16" t="inlineStr"/>
      <c r="G26" s="16" t="inlineStr">
        <is>
          <t>Other</t>
        </is>
      </c>
      <c r="H26" s="16" t="inlineStr">
        <is>
          <t>aOR</t>
        </is>
      </c>
      <c r="I26" s="16" t="inlineStr">
        <is>
          <t>Adjusted (multivariable)</t>
        </is>
      </c>
      <c r="J26" s="16" t="n">
        <v>1.21</v>
      </c>
      <c r="K26" s="16" t="n">
        <v>0.92</v>
      </c>
      <c r="L26" s="16" t="n">
        <v>1.6</v>
      </c>
      <c r="M26" s="16" t="n">
        <v>95</v>
      </c>
      <c r="N26" s="16" t="inlineStr"/>
      <c r="O26" s="16" t="inlineStr"/>
      <c r="P26" s="16" t="inlineStr"/>
      <c r="Q26" s="16" t="inlineStr"/>
      <c r="R26" s="16" t="inlineStr"/>
      <c r="S26" s="20">
        <f>IF(M26="",1.96,IF(M26=90,1.645,IF(M26=99,2.576,1.96)))</f>
        <v/>
      </c>
      <c r="T26" s="20">
        <f>IFERROR(LN(J26),"")</f>
        <v/>
      </c>
      <c r="U26" s="20">
        <f>IFERROR((LN(L26)-LN(K26))/(2*S26),"")</f>
        <v/>
      </c>
      <c r="V26" s="20">
        <f>IFERROR(LN((O26*R26)/(P26*Q26)),"")</f>
        <v/>
      </c>
      <c r="W26" s="20">
        <f>IFERROR(SQRT(1/O26+1/P26+1/Q26+1/R26),"")</f>
        <v/>
      </c>
      <c r="X26" s="20">
        <f>IFERROR(IF(T26&lt;&gt;"",T26,V26),"")</f>
        <v/>
      </c>
      <c r="Y26" s="20">
        <f>IFERROR(IF(U26&lt;&gt;"",U26,W26),"")</f>
        <v/>
      </c>
      <c r="Z26" s="20">
        <f>IFERROR(EXP(X26),"")</f>
        <v/>
      </c>
      <c r="AA26" s="16" t="inlineStr">
        <is>
          <t>No</t>
        </is>
      </c>
      <c r="AB26" s="20">
        <f>IF(AA26="Yes",B26,"")</f>
        <v/>
      </c>
      <c r="AC26" s="16" t="inlineStr">
        <is>
          <t>Same study (Miller 2023)</t>
        </is>
      </c>
      <c r="AD26" s="16" t="inlineStr">
        <is>
          <t>source table (see PDF)</t>
        </is>
      </c>
      <c r="AE26" s="16" t="inlineStr">
        <is>
          <t>UNVERIFIED - needs extraction</t>
        </is>
      </c>
      <c r="AF26" s="16" t="inlineStr">
        <is>
          <t>Tetracycline (base) agent.</t>
        </is>
      </c>
    </row>
    <row r="27">
      <c r="A27" s="16" t="inlineStr">
        <is>
          <t>E25</t>
        </is>
      </c>
      <c r="B27" s="16" t="inlineStr">
        <is>
          <t>S40</t>
        </is>
      </c>
      <c r="C27" s="16" t="inlineStr">
        <is>
          <t>Doxycycline</t>
        </is>
      </c>
      <c r="D27" s="16" t="inlineStr">
        <is>
          <t>Individual tetracycline agent</t>
        </is>
      </c>
      <c r="E27" s="16" t="inlineStr">
        <is>
          <t>Specific class (see detail)</t>
        </is>
      </c>
      <c r="F27" s="16" t="inlineStr">
        <is>
          <t>doxycycline vs azithromycin</t>
        </is>
      </c>
      <c r="G27" s="16" t="inlineStr">
        <is>
          <t>Overall / primary</t>
        </is>
      </c>
      <c r="H27" s="16" t="inlineStr">
        <is>
          <t>aOR</t>
        </is>
      </c>
      <c r="I27" s="16" t="inlineStr">
        <is>
          <t>Adjusted (multivariable)</t>
        </is>
      </c>
      <c r="J27" s="16" t="n">
        <v>0.83</v>
      </c>
      <c r="K27" s="16" t="n">
        <v>0.7</v>
      </c>
      <c r="L27" s="16" t="n">
        <v>0.99</v>
      </c>
      <c r="M27" s="16" t="n">
        <v>95</v>
      </c>
      <c r="N27" s="16" t="inlineStr"/>
      <c r="O27" s="16" t="inlineStr"/>
      <c r="P27" s="16" t="inlineStr"/>
      <c r="Q27" s="16" t="inlineStr"/>
      <c r="R27" s="16" t="inlineStr"/>
      <c r="S27" s="20">
        <f>IF(M27="",1.96,IF(M27=90,1.645,IF(M27=99,2.576,1.96)))</f>
        <v/>
      </c>
      <c r="T27" s="20">
        <f>IFERROR(LN(J27),"")</f>
        <v/>
      </c>
      <c r="U27" s="20">
        <f>IFERROR((LN(L27)-LN(K27))/(2*S27),"")</f>
        <v/>
      </c>
      <c r="V27" s="20">
        <f>IFERROR(LN((O27*R27)/(P27*Q27)),"")</f>
        <v/>
      </c>
      <c r="W27" s="20">
        <f>IFERROR(SQRT(1/O27+1/P27+1/Q27+1/R27),"")</f>
        <v/>
      </c>
      <c r="X27" s="20">
        <f>IFERROR(IF(T27&lt;&gt;"",T27,V27),"")</f>
        <v/>
      </c>
      <c r="Y27" s="20">
        <f>IFERROR(IF(U27&lt;&gt;"",U27,W27),"")</f>
        <v/>
      </c>
      <c r="Z27" s="20">
        <f>IFERROR(EXP(X27),"")</f>
        <v/>
      </c>
      <c r="AA27" s="16" t="inlineStr">
        <is>
          <t>Yes</t>
        </is>
      </c>
      <c r="AB27" s="20">
        <f>IF(AA27="Yes",B27,"")</f>
        <v/>
      </c>
      <c r="AC27" s="16" t="inlineStr">
        <is>
          <t>Other models 0.88 (0.73-1.05); severe-CDI 0.55 (0.31-0.91)</t>
        </is>
      </c>
      <c r="AD27" s="16" t="inlineStr">
        <is>
          <t>source table (see PDF)</t>
        </is>
      </c>
      <c r="AE27" s="16" t="inlineStr">
        <is>
          <t>UNVERIFIED - needs extraction</t>
        </is>
      </c>
      <c r="AF27" s="16" t="inlineStr">
        <is>
          <t>Substitution cohort.</t>
        </is>
      </c>
    </row>
    <row r="28">
      <c r="A28" s="16" t="inlineStr">
        <is>
          <t>E26</t>
        </is>
      </c>
      <c r="B28" s="16" t="inlineStr">
        <is>
          <t>S42</t>
        </is>
      </c>
      <c r="C28" s="16" t="inlineStr">
        <is>
          <t>Tetracyclines (class, pooled)</t>
        </is>
      </c>
      <c r="D28" s="16" t="inlineStr">
        <is>
          <t>Tetracycline-class (pooled)</t>
        </is>
      </c>
      <c r="E28" s="16" t="inlineStr">
        <is>
          <t>Other antibiotics (pooled)</t>
        </is>
      </c>
      <c r="F28" s="16" t="inlineStr"/>
      <c r="G28" s="16" t="inlineStr">
        <is>
          <t>Crude analysis</t>
        </is>
      </c>
      <c r="H28" s="16" t="inlineStr">
        <is>
          <t>OR</t>
        </is>
      </c>
      <c r="I28" s="16" t="inlineStr">
        <is>
          <t>Crude / unadjusted</t>
        </is>
      </c>
      <c r="J28" s="16" t="inlineStr"/>
      <c r="K28" s="16" t="inlineStr"/>
      <c r="L28" s="16" t="inlineStr"/>
      <c r="M28" s="16" t="n">
        <v>95</v>
      </c>
      <c r="N28" s="16" t="inlineStr"/>
      <c r="O28" s="16" t="inlineStr"/>
      <c r="P28" s="16" t="inlineStr"/>
      <c r="Q28" s="16" t="inlineStr"/>
      <c r="R28" s="16" t="inlineStr"/>
      <c r="S28" s="20">
        <f>IF(M28="",1.96,IF(M28=90,1.645,IF(M28=99,2.576,1.96)))</f>
        <v/>
      </c>
      <c r="T28" s="20">
        <f>IFERROR(LN(J28),"")</f>
        <v/>
      </c>
      <c r="U28" s="20">
        <f>IFERROR((LN(L28)-LN(K28))/(2*S28),"")</f>
        <v/>
      </c>
      <c r="V28" s="20">
        <f>IFERROR(LN((O28*R28)/(P28*Q28)),"")</f>
        <v/>
      </c>
      <c r="W28" s="20">
        <f>IFERROR(SQRT(1/O28+1/P28+1/Q28+1/R28),"")</f>
        <v/>
      </c>
      <c r="X28" s="20">
        <f>IFERROR(IF(T28&lt;&gt;"",T28,V28),"")</f>
        <v/>
      </c>
      <c r="Y28" s="20">
        <f>IFERROR(IF(U28&lt;&gt;"",U28,W28),"")</f>
        <v/>
      </c>
      <c r="Z28" s="20">
        <f>IFERROR(EXP(X28),"")</f>
        <v/>
      </c>
      <c r="AA28" s="16" t="inlineStr">
        <is>
          <t>Maybe</t>
        </is>
      </c>
      <c r="AB28" s="20">
        <f>IF(AA28="Yes",B28,"")</f>
        <v/>
      </c>
      <c r="AC28" s="16" t="inlineStr">
        <is>
          <t>Small crude counts (2 vs 3; p=0.54)</t>
        </is>
      </c>
      <c r="AD28" s="16" t="inlineStr">
        <is>
          <t>source table (see PDF)</t>
        </is>
      </c>
      <c r="AE28" s="16" t="inlineStr">
        <is>
          <t>UNVERIFIED - needs extraction</t>
        </is>
      </c>
      <c r="AF28" s="16" t="inlineStr">
        <is>
          <t>Derive 2x2 with denominators from source.</t>
        </is>
      </c>
    </row>
    <row r="29">
      <c r="A29" s="16" t="inlineStr">
        <is>
          <t>E27</t>
        </is>
      </c>
      <c r="B29" s="16" t="inlineStr">
        <is>
          <t>S43</t>
        </is>
      </c>
      <c r="C29" s="16" t="inlineStr">
        <is>
          <t>Tetracyclines (class, pooled)</t>
        </is>
      </c>
      <c r="D29" s="16" t="inlineStr">
        <is>
          <t>Tetracycline-class (pooled)</t>
        </is>
      </c>
      <c r="E29" s="16" t="inlineStr">
        <is>
          <t>No antibiotic / unexposed</t>
        </is>
      </c>
      <c r="F29" s="16" t="inlineStr"/>
      <c r="G29" s="16" t="inlineStr">
        <is>
          <t>Overall / primary</t>
        </is>
      </c>
      <c r="H29" s="16" t="inlineStr">
        <is>
          <t>OR</t>
        </is>
      </c>
      <c r="I29" s="16" t="inlineStr">
        <is>
          <t>Unclear</t>
        </is>
      </c>
      <c r="J29" s="16" t="inlineStr"/>
      <c r="K29" s="16" t="inlineStr"/>
      <c r="L29" s="16" t="inlineStr"/>
      <c r="M29" s="16" t="n">
        <v>95</v>
      </c>
      <c r="N29" s="16" t="inlineStr"/>
      <c r="O29" s="16" t="inlineStr"/>
      <c r="P29" s="16" t="inlineStr"/>
      <c r="Q29" s="16" t="inlineStr"/>
      <c r="R29" s="16" t="inlineStr"/>
      <c r="S29" s="20">
        <f>IF(M29="",1.96,IF(M29=90,1.645,IF(M29=99,2.576,1.96)))</f>
        <v/>
      </c>
      <c r="T29" s="20">
        <f>IFERROR(LN(J29),"")</f>
        <v/>
      </c>
      <c r="U29" s="20">
        <f>IFERROR((LN(L29)-LN(K29))/(2*S29),"")</f>
        <v/>
      </c>
      <c r="V29" s="20">
        <f>IFERROR(LN((O29*R29)/(P29*Q29)),"")</f>
        <v/>
      </c>
      <c r="W29" s="20">
        <f>IFERROR(SQRT(1/O29+1/P29+1/Q29+1/R29),"")</f>
        <v/>
      </c>
      <c r="X29" s="20">
        <f>IFERROR(IF(T29&lt;&gt;"",T29,V29),"")</f>
        <v/>
      </c>
      <c r="Y29" s="20">
        <f>IFERROR(IF(U29&lt;&gt;"",U29,W29),"")</f>
        <v/>
      </c>
      <c r="Z29" s="20">
        <f>IFERROR(EXP(X29),"")</f>
        <v/>
      </c>
      <c r="AA29" s="16" t="inlineStr">
        <is>
          <t>Maybe</t>
        </is>
      </c>
      <c r="AB29" s="20">
        <f>IF(AA29="Yes",B29,"")</f>
        <v/>
      </c>
      <c r="AC29" s="16" t="inlineStr">
        <is>
          <t>Estimate in source table; NOT extractable from PDF text</t>
        </is>
      </c>
      <c r="AD29" s="16" t="inlineStr">
        <is>
          <t>source table (see PDF)</t>
        </is>
      </c>
      <c r="AE29" s="16" t="inlineStr">
        <is>
          <t>UNVERIFIED - needs extraction</t>
        </is>
      </c>
      <c r="AF29" s="16" t="inlineStr">
        <is>
          <t>Manual extraction required (Tariq anchor).</t>
        </is>
      </c>
    </row>
    <row r="30">
      <c r="A30" s="16" t="inlineStr">
        <is>
          <t>E28</t>
        </is>
      </c>
      <c r="B30" s="16" t="inlineStr">
        <is>
          <t>S44</t>
        </is>
      </c>
      <c r="C30" s="16" t="inlineStr">
        <is>
          <t>Doxycycline</t>
        </is>
      </c>
      <c r="D30" s="16" t="inlineStr">
        <is>
          <t>Individual tetracycline agent</t>
        </is>
      </c>
      <c r="E30" s="16" t="inlineStr">
        <is>
          <t>Specific class (see detail)</t>
        </is>
      </c>
      <c r="F30" s="16" t="inlineStr">
        <is>
          <t>beta-lactam+doxycycline vs other regimens</t>
        </is>
      </c>
      <c r="G30" s="16" t="inlineStr">
        <is>
          <t>Overall / primary</t>
        </is>
      </c>
      <c r="H30" s="16" t="inlineStr">
        <is>
          <t>aOR</t>
        </is>
      </c>
      <c r="I30" s="16" t="inlineStr">
        <is>
          <t>Adjusted (multivariable)</t>
        </is>
      </c>
      <c r="J30" s="16" t="n">
        <v>0.85</v>
      </c>
      <c r="K30" s="16" t="n">
        <v>0.26</v>
      </c>
      <c r="L30" s="16" t="n">
        <v>2.79</v>
      </c>
      <c r="M30" s="16" t="n">
        <v>95</v>
      </c>
      <c r="N30" s="16" t="inlineStr"/>
      <c r="O30" s="16" t="inlineStr"/>
      <c r="P30" s="16" t="inlineStr"/>
      <c r="Q30" s="16" t="inlineStr"/>
      <c r="R30" s="16" t="inlineStr"/>
      <c r="S30" s="20">
        <f>IF(M30="",1.96,IF(M30=90,1.645,IF(M30=99,2.576,1.96)))</f>
        <v/>
      </c>
      <c r="T30" s="20">
        <f>IFERROR(LN(J30),"")</f>
        <v/>
      </c>
      <c r="U30" s="20">
        <f>IFERROR((LN(L30)-LN(K30))/(2*S30),"")</f>
        <v/>
      </c>
      <c r="V30" s="20">
        <f>IFERROR(LN((O30*R30)/(P30*Q30)),"")</f>
        <v/>
      </c>
      <c r="W30" s="20">
        <f>IFERROR(SQRT(1/O30+1/P30+1/Q30+1/R30),"")</f>
        <v/>
      </c>
      <c r="X30" s="20">
        <f>IFERROR(IF(T30&lt;&gt;"",T30,V30),"")</f>
        <v/>
      </c>
      <c r="Y30" s="20">
        <f>IFERROR(IF(U30&lt;&gt;"",U30,W30),"")</f>
        <v/>
      </c>
      <c r="Z30" s="20">
        <f>IFERROR(EXP(X30),"")</f>
        <v/>
      </c>
      <c r="AA30" s="16" t="inlineStr">
        <is>
          <t>Yes</t>
        </is>
      </c>
      <c r="AB30" s="20">
        <f>IF(AA30="Yes",B30,"")</f>
        <v/>
      </c>
      <c r="AC30" s="16" t="inlineStr">
        <is>
          <t>Also OR 0.73 (0.44-1.20)</t>
        </is>
      </c>
      <c r="AD30" s="16" t="inlineStr">
        <is>
          <t>source table (see PDF)</t>
        </is>
      </c>
      <c r="AE30" s="16" t="inlineStr">
        <is>
          <t>UNVERIFIED - needs extraction</t>
        </is>
      </c>
      <c r="AF30" s="16" t="inlineStr">
        <is>
          <t>Combination regimen; CDI outcome.</t>
        </is>
      </c>
    </row>
    <row r="31">
      <c r="A31" s="16" t="inlineStr">
        <is>
          <t>E29</t>
        </is>
      </c>
      <c r="B31" s="16" t="inlineStr">
        <is>
          <t>S45</t>
        </is>
      </c>
      <c r="C31" s="16" t="inlineStr">
        <is>
          <t>Tetracyclines (class, pooled)</t>
        </is>
      </c>
      <c r="D31" s="16" t="inlineStr">
        <is>
          <t>Tetracycline-class (pooled)</t>
        </is>
      </c>
      <c r="E31" s="16" t="inlineStr">
        <is>
          <t>Reference category (multivariable)</t>
        </is>
      </c>
      <c r="F31" s="16" t="inlineStr"/>
      <c r="G31" s="16" t="inlineStr">
        <is>
          <t>Overall / primary</t>
        </is>
      </c>
      <c r="H31" s="16" t="inlineStr">
        <is>
          <t>aOR</t>
        </is>
      </c>
      <c r="I31" s="16" t="inlineStr">
        <is>
          <t>Adjusted (multivariable)</t>
        </is>
      </c>
      <c r="J31" s="16" t="n">
        <v>2.97</v>
      </c>
      <c r="K31" s="16" t="n">
        <v>2.44</v>
      </c>
      <c r="L31" s="16" t="n">
        <v>3.63</v>
      </c>
      <c r="M31" s="16" t="n">
        <v>95</v>
      </c>
      <c r="N31" s="16" t="inlineStr"/>
      <c r="O31" s="16" t="inlineStr"/>
      <c r="P31" s="16" t="inlineStr"/>
      <c r="Q31" s="16" t="inlineStr"/>
      <c r="R31" s="16" t="inlineStr"/>
      <c r="S31" s="20">
        <f>IF(M31="",1.96,IF(M31=90,1.645,IF(M31=99,2.576,1.96)))</f>
        <v/>
      </c>
      <c r="T31" s="20">
        <f>IFERROR(LN(J31),"")</f>
        <v/>
      </c>
      <c r="U31" s="20">
        <f>IFERROR((LN(L31)-LN(K31))/(2*S31),"")</f>
        <v/>
      </c>
      <c r="V31" s="20">
        <f>IFERROR(LN((O31*R31)/(P31*Q31)),"")</f>
        <v/>
      </c>
      <c r="W31" s="20">
        <f>IFERROR(SQRT(1/O31+1/P31+1/Q31+1/R31),"")</f>
        <v/>
      </c>
      <c r="X31" s="20">
        <f>IFERROR(IF(T31&lt;&gt;"",T31,V31),"")</f>
        <v/>
      </c>
      <c r="Y31" s="20">
        <f>IFERROR(IF(U31&lt;&gt;"",U31,W31),"")</f>
        <v/>
      </c>
      <c r="Z31" s="20">
        <f>IFERROR(EXP(X31),"")</f>
        <v/>
      </c>
      <c r="AA31" s="16" t="inlineStr">
        <is>
          <t>Yes</t>
        </is>
      </c>
      <c r="AB31" s="20">
        <f>IF(AA31="Yes",B31,"")</f>
        <v/>
      </c>
      <c r="AC31" s="16" t="inlineStr">
        <is>
          <t>Counts 262/4917 vs 265/19668</t>
        </is>
      </c>
      <c r="AD31" s="16" t="inlineStr">
        <is>
          <t>source table (see PDF)</t>
        </is>
      </c>
      <c r="AE31" s="16" t="inlineStr">
        <is>
          <t>UNVERIFIED - needs extraction</t>
        </is>
      </c>
      <c r="AF31" s="16" t="inlineStr">
        <is>
          <t>Nested case-control.</t>
        </is>
      </c>
    </row>
    <row r="32">
      <c r="A32" s="16" t="inlineStr">
        <is>
          <t>E30</t>
        </is>
      </c>
      <c r="B32" s="16" t="inlineStr">
        <is>
          <t>S49</t>
        </is>
      </c>
      <c r="C32" s="16" t="inlineStr">
        <is>
          <t>Tetracyclines (class, pooled)</t>
        </is>
      </c>
      <c r="D32" s="16" t="inlineStr">
        <is>
          <t>Tetracycline-class (pooled)</t>
        </is>
      </c>
      <c r="E32" s="16" t="inlineStr">
        <is>
          <t>Other antibiotics (pooled)</t>
        </is>
      </c>
      <c r="F32" s="16" t="inlineStr"/>
      <c r="G32" s="16" t="inlineStr">
        <is>
          <t>Overall / primary</t>
        </is>
      </c>
      <c r="H32" s="16" t="inlineStr">
        <is>
          <t>OR</t>
        </is>
      </c>
      <c r="I32" s="16" t="inlineStr">
        <is>
          <t>Crude / unadjusted</t>
        </is>
      </c>
      <c r="J32" s="16" t="n">
        <v>6.421</v>
      </c>
      <c r="K32" s="16" t="n">
        <v>2.194</v>
      </c>
      <c r="L32" s="16" t="n">
        <v>14.945</v>
      </c>
      <c r="M32" s="16" t="n">
        <v>95</v>
      </c>
      <c r="N32" s="16" t="inlineStr"/>
      <c r="O32" s="16" t="inlineStr"/>
      <c r="P32" s="16" t="inlineStr"/>
      <c r="Q32" s="16" t="inlineStr"/>
      <c r="R32" s="16" t="inlineStr"/>
      <c r="S32" s="20">
        <f>IF(M32="",1.96,IF(M32=90,1.645,IF(M32=99,2.576,1.96)))</f>
        <v/>
      </c>
      <c r="T32" s="20">
        <f>IFERROR(LN(J32),"")</f>
        <v/>
      </c>
      <c r="U32" s="20">
        <f>IFERROR((LN(L32)-LN(K32))/(2*S32),"")</f>
        <v/>
      </c>
      <c r="V32" s="20">
        <f>IFERROR(LN((O32*R32)/(P32*Q32)),"")</f>
        <v/>
      </c>
      <c r="W32" s="20">
        <f>IFERROR(SQRT(1/O32+1/P32+1/Q32+1/R32),"")</f>
        <v/>
      </c>
      <c r="X32" s="20">
        <f>IFERROR(IF(T32&lt;&gt;"",T32,V32),"")</f>
        <v/>
      </c>
      <c r="Y32" s="20">
        <f>IFERROR(IF(U32&lt;&gt;"",U32,W32),"")</f>
        <v/>
      </c>
      <c r="Z32" s="20">
        <f>IFERROR(EXP(X32),"")</f>
        <v/>
      </c>
      <c r="AA32" s="16" t="inlineStr">
        <is>
          <t>Maybe</t>
        </is>
      </c>
      <c r="AB32" s="20">
        <f>IF(AA32="Yes",B32,"")</f>
        <v/>
      </c>
      <c r="AC32" s="16" t="inlineStr">
        <is>
          <t>A reported 'multivariable 0.146 (0.07-0.22)' appears to be a table-parsing artifact - VERIFY</t>
        </is>
      </c>
      <c r="AD32" s="16" t="inlineStr">
        <is>
          <t>source table (see PDF)</t>
        </is>
      </c>
      <c r="AE32" s="16" t="inlineStr">
        <is>
          <t>UNVERIFIED - needs extraction</t>
        </is>
      </c>
      <c r="AF32" s="16" t="inlineStr">
        <is>
          <t>Community-onset.</t>
        </is>
      </c>
    </row>
    <row r="33">
      <c r="A33" s="16" t="inlineStr">
        <is>
          <t>E31</t>
        </is>
      </c>
      <c r="B33" s="16" t="inlineStr">
        <is>
          <t>S50</t>
        </is>
      </c>
      <c r="C33" s="16" t="inlineStr">
        <is>
          <t>Tetracycline</t>
        </is>
      </c>
      <c r="D33" s="16" t="inlineStr">
        <is>
          <t>Individual tetracycline agent</t>
        </is>
      </c>
      <c r="E33" s="16" t="inlineStr">
        <is>
          <t>Reference category (multivariable)</t>
        </is>
      </c>
      <c r="F33" s="16" t="inlineStr">
        <is>
          <t>penicillin-only reference</t>
        </is>
      </c>
      <c r="G33" s="16" t="inlineStr">
        <is>
          <t>Overall / primary</t>
        </is>
      </c>
      <c r="H33" s="16" t="inlineStr">
        <is>
          <t>OR</t>
        </is>
      </c>
      <c r="I33" s="16" t="inlineStr">
        <is>
          <t>Unclear</t>
        </is>
      </c>
      <c r="J33" s="16" t="n">
        <v>0.6</v>
      </c>
      <c r="K33" s="16" t="n">
        <v>0.14</v>
      </c>
      <c r="L33" s="16" t="n">
        <v>2.52</v>
      </c>
      <c r="M33" s="16" t="n">
        <v>95</v>
      </c>
      <c r="N33" s="16" t="inlineStr"/>
      <c r="O33" s="16" t="inlineStr"/>
      <c r="P33" s="16" t="inlineStr"/>
      <c r="Q33" s="16" t="inlineStr"/>
      <c r="R33" s="16" t="inlineStr"/>
      <c r="S33" s="20">
        <f>IF(M33="",1.96,IF(M33=90,1.645,IF(M33=99,2.576,1.96)))</f>
        <v/>
      </c>
      <c r="T33" s="20">
        <f>IFERROR(LN(J33),"")</f>
        <v/>
      </c>
      <c r="U33" s="20">
        <f>IFERROR((LN(L33)-LN(K33))/(2*S33),"")</f>
        <v/>
      </c>
      <c r="V33" s="20">
        <f>IFERROR(LN((O33*R33)/(P33*Q33)),"")</f>
        <v/>
      </c>
      <c r="W33" s="20">
        <f>IFERROR(SQRT(1/O33+1/P33+1/Q33+1/R33),"")</f>
        <v/>
      </c>
      <c r="X33" s="20">
        <f>IFERROR(IF(T33&lt;&gt;"",T33,V33),"")</f>
        <v/>
      </c>
      <c r="Y33" s="20">
        <f>IFERROR(IF(U33&lt;&gt;"",U33,W33),"")</f>
        <v/>
      </c>
      <c r="Z33" s="20">
        <f>IFERROR(EXP(X33),"")</f>
        <v/>
      </c>
      <c r="AA33" s="16" t="inlineStr">
        <is>
          <t>Yes</t>
        </is>
      </c>
      <c r="AB33" s="20">
        <f>IF(AA33="Yes",B33,"")</f>
        <v/>
      </c>
      <c r="AC33" s="16" t="inlineStr"/>
      <c r="AD33" s="16" t="inlineStr">
        <is>
          <t>source table (see PDF)</t>
        </is>
      </c>
      <c r="AE33" s="16" t="inlineStr">
        <is>
          <t>UNVERIFIED - needs extraction</t>
        </is>
      </c>
      <c r="AF33" s="16" t="inlineStr">
        <is>
          <t>Matched case-control.</t>
        </is>
      </c>
    </row>
    <row r="34">
      <c r="A34" s="16" t="inlineStr">
        <is>
          <t>E32</t>
        </is>
      </c>
      <c r="B34" s="16" t="inlineStr">
        <is>
          <t>S51</t>
        </is>
      </c>
      <c r="C34" s="16" t="inlineStr">
        <is>
          <t>Tetracyclines (class, pooled)</t>
        </is>
      </c>
      <c r="D34" s="16" t="inlineStr">
        <is>
          <t>Tetracycline-class (pooled)</t>
        </is>
      </c>
      <c r="E34" s="16" t="inlineStr">
        <is>
          <t>Other antibiotics (pooled)</t>
        </is>
      </c>
      <c r="F34" s="16" t="inlineStr"/>
      <c r="G34" s="16" t="inlineStr">
        <is>
          <t>Overall / primary</t>
        </is>
      </c>
      <c r="H34" s="16" t="inlineStr">
        <is>
          <t>OR</t>
        </is>
      </c>
      <c r="I34" s="16" t="inlineStr">
        <is>
          <t>Unclear</t>
        </is>
      </c>
      <c r="J34" s="16" t="inlineStr"/>
      <c r="K34" s="16" t="inlineStr"/>
      <c r="L34" s="16" t="inlineStr"/>
      <c r="M34" s="16" t="n">
        <v>95</v>
      </c>
      <c r="N34" s="16" t="inlineStr"/>
      <c r="O34" s="16" t="inlineStr"/>
      <c r="P34" s="16" t="inlineStr"/>
      <c r="Q34" s="16" t="inlineStr"/>
      <c r="R34" s="16" t="inlineStr"/>
      <c r="S34" s="20">
        <f>IF(M34="",1.96,IF(M34=90,1.645,IF(M34=99,2.576,1.96)))</f>
        <v/>
      </c>
      <c r="T34" s="20">
        <f>IFERROR(LN(J34),"")</f>
        <v/>
      </c>
      <c r="U34" s="20">
        <f>IFERROR((LN(L34)-LN(K34))/(2*S34),"")</f>
        <v/>
      </c>
      <c r="V34" s="20">
        <f>IFERROR(LN((O34*R34)/(P34*Q34)),"")</f>
        <v/>
      </c>
      <c r="W34" s="20">
        <f>IFERROR(SQRT(1/O34+1/P34+1/Q34+1/R34),"")</f>
        <v/>
      </c>
      <c r="X34" s="20">
        <f>IFERROR(IF(T34&lt;&gt;"",T34,V34),"")</f>
        <v/>
      </c>
      <c r="Y34" s="20">
        <f>IFERROR(IF(U34&lt;&gt;"",U34,W34),"")</f>
        <v/>
      </c>
      <c r="Z34" s="20">
        <f>IFERROR(EXP(X34),"")</f>
        <v/>
      </c>
      <c r="AA34" s="16" t="inlineStr">
        <is>
          <t>Maybe</t>
        </is>
      </c>
      <c r="AB34" s="20">
        <f>IF(AA34="Yes",B34,"")</f>
        <v/>
      </c>
      <c r="AC34" s="16" t="inlineStr">
        <is>
          <t>Tetracycline appears in risk model text</t>
        </is>
      </c>
      <c r="AD34" s="16" t="inlineStr">
        <is>
          <t>source table (see PDF)</t>
        </is>
      </c>
      <c r="AE34" s="16" t="inlineStr">
        <is>
          <t>UNVERIFIED - needs extraction</t>
        </is>
      </c>
      <c r="AF34" s="16" t="inlineStr">
        <is>
          <t>Extract estimate from full text.</t>
        </is>
      </c>
    </row>
    <row r="35">
      <c r="A35" s="16" t="inlineStr">
        <is>
          <t>E33</t>
        </is>
      </c>
      <c r="B35" s="16" t="inlineStr">
        <is>
          <t>S52</t>
        </is>
      </c>
      <c r="C35" s="16" t="inlineStr">
        <is>
          <t>Doxycycline</t>
        </is>
      </c>
      <c r="D35" s="16" t="inlineStr">
        <is>
          <t>Individual tetracycline agent</t>
        </is>
      </c>
      <c r="E35" s="16" t="inlineStr">
        <is>
          <t>Other antibiotics (pooled)</t>
        </is>
      </c>
      <c r="F35" s="16" t="inlineStr"/>
      <c r="G35" s="16" t="inlineStr">
        <is>
          <t>Overall / primary</t>
        </is>
      </c>
      <c r="H35" s="16" t="inlineStr">
        <is>
          <t>OR</t>
        </is>
      </c>
      <c r="I35" s="16" t="inlineStr">
        <is>
          <t>Adjusted (multivariable)</t>
        </is>
      </c>
      <c r="J35" s="16" t="n">
        <v>3.32</v>
      </c>
      <c r="K35" s="16" t="n">
        <v>2.03</v>
      </c>
      <c r="L35" s="16" t="n">
        <v>5.43</v>
      </c>
      <c r="M35" s="16" t="n">
        <v>95</v>
      </c>
      <c r="N35" s="16" t="inlineStr"/>
      <c r="O35" s="16" t="inlineStr"/>
      <c r="P35" s="16" t="inlineStr"/>
      <c r="Q35" s="16" t="inlineStr"/>
      <c r="R35" s="16" t="inlineStr"/>
      <c r="S35" s="20">
        <f>IF(M35="",1.96,IF(M35=90,1.645,IF(M35=99,2.576,1.96)))</f>
        <v/>
      </c>
      <c r="T35" s="20">
        <f>IFERROR(LN(J35),"")</f>
        <v/>
      </c>
      <c r="U35" s="20">
        <f>IFERROR((LN(L35)-LN(K35))/(2*S35),"")</f>
        <v/>
      </c>
      <c r="V35" s="20">
        <f>IFERROR(LN((O35*R35)/(P35*Q35)),"")</f>
        <v/>
      </c>
      <c r="W35" s="20">
        <f>IFERROR(SQRT(1/O35+1/P35+1/Q35+1/R35),"")</f>
        <v/>
      </c>
      <c r="X35" s="20">
        <f>IFERROR(IF(T35&lt;&gt;"",T35,V35),"")</f>
        <v/>
      </c>
      <c r="Y35" s="20">
        <f>IFERROR(IF(U35&lt;&gt;"",U35,W35),"")</f>
        <v/>
      </c>
      <c r="Z35" s="20">
        <f>IFERROR(EXP(X35),"")</f>
        <v/>
      </c>
      <c r="AA35" s="16" t="inlineStr">
        <is>
          <t>No</t>
        </is>
      </c>
      <c r="AB35" s="20">
        <f>IF(AA35="Yes",B35,"")</f>
        <v/>
      </c>
      <c r="AC35" s="16" t="inlineStr">
        <is>
          <t>FAERS reporting OR (ROR); pharmacovigilance design EXCLUDED per protocol</t>
        </is>
      </c>
      <c r="AD35" s="16" t="inlineStr">
        <is>
          <t>source table (see PDF)</t>
        </is>
      </c>
      <c r="AE35" s="16" t="inlineStr">
        <is>
          <t>UNVERIFIED - needs extraction</t>
        </is>
      </c>
      <c r="AF35" s="16" t="inlineStr">
        <is>
          <t>Recorded for completeness only.</t>
        </is>
      </c>
    </row>
    <row r="36">
      <c r="A36" s="16" t="inlineStr">
        <is>
          <t>E34</t>
        </is>
      </c>
      <c r="B36" s="16" t="inlineStr">
        <is>
          <t>S55</t>
        </is>
      </c>
      <c r="C36" s="16" t="inlineStr">
        <is>
          <t>Doxycycline</t>
        </is>
      </c>
      <c r="D36" s="16" t="inlineStr">
        <is>
          <t>Individual tetracycline agent</t>
        </is>
      </c>
      <c r="E36" s="16" t="inlineStr">
        <is>
          <t>Other antibiotics (pooled)</t>
        </is>
      </c>
      <c r="F36" s="16" t="inlineStr"/>
      <c r="G36" s="16" t="inlineStr">
        <is>
          <t>Overall / primary</t>
        </is>
      </c>
      <c r="H36" s="16" t="inlineStr">
        <is>
          <t>OR</t>
        </is>
      </c>
      <c r="I36" s="16" t="inlineStr">
        <is>
          <t>Crude / unadjusted</t>
        </is>
      </c>
      <c r="J36" s="16" t="inlineStr"/>
      <c r="K36" s="16" t="inlineStr"/>
      <c r="L36" s="16" t="inlineStr"/>
      <c r="M36" s="16" t="n">
        <v>95</v>
      </c>
      <c r="N36" s="16" t="inlineStr"/>
      <c r="O36" s="16" t="n">
        <v>7</v>
      </c>
      <c r="P36" s="16" t="n">
        <v>9</v>
      </c>
      <c r="Q36" s="16" t="n">
        <v>93</v>
      </c>
      <c r="R36" s="16" t="inlineStr"/>
      <c r="S36" s="20">
        <f>IF(M36="",1.96,IF(M36=90,1.645,IF(M36=99,2.576,1.96)))</f>
        <v/>
      </c>
      <c r="T36" s="20">
        <f>IFERROR(LN(J36),"")</f>
        <v/>
      </c>
      <c r="U36" s="20">
        <f>IFERROR((LN(L36)-LN(K36))/(2*S36),"")</f>
        <v/>
      </c>
      <c r="V36" s="20">
        <f>IFERROR(LN((O36*R36)/(P36*Q36)),"")</f>
        <v/>
      </c>
      <c r="W36" s="20">
        <f>IFERROR(SQRT(1/O36+1/P36+1/Q36+1/R36),"")</f>
        <v/>
      </c>
      <c r="X36" s="20">
        <f>IFERROR(IF(T36&lt;&gt;"",T36,V36),"")</f>
        <v/>
      </c>
      <c r="Y36" s="20">
        <f>IFERROR(IF(U36&lt;&gt;"",U36,W36),"")</f>
        <v/>
      </c>
      <c r="Z36" s="20">
        <f>IFERROR(EXP(X36),"")</f>
        <v/>
      </c>
      <c r="AA36" s="16" t="inlineStr">
        <is>
          <t>Yes</t>
        </is>
      </c>
      <c r="AB36" s="20">
        <f>IF(AA36="Yes",B36,"")</f>
        <v/>
      </c>
      <c r="AC36" s="16" t="inlineStr">
        <is>
          <t>2x2 partial: cases exposed=7; control denominator (d) needed</t>
        </is>
      </c>
      <c r="AD36" s="16" t="inlineStr">
        <is>
          <t>source table (see PDF)</t>
        </is>
      </c>
      <c r="AE36" s="16" t="inlineStr">
        <is>
          <t>UNVERIFIED - needs extraction</t>
        </is>
      </c>
      <c r="AF36" s="16" t="inlineStr">
        <is>
          <t>p=0.7953.</t>
        </is>
      </c>
    </row>
    <row r="37">
      <c r="A37" s="16" t="inlineStr">
        <is>
          <t>E35</t>
        </is>
      </c>
      <c r="B37" s="16" t="inlineStr">
        <is>
          <t>S57</t>
        </is>
      </c>
      <c r="C37" s="16" t="inlineStr">
        <is>
          <t>Tetracycline</t>
        </is>
      </c>
      <c r="D37" s="16" t="inlineStr">
        <is>
          <t>Individual tetracycline agent</t>
        </is>
      </c>
      <c r="E37" s="16" t="inlineStr">
        <is>
          <t>Other antibiotics (pooled)</t>
        </is>
      </c>
      <c r="F37" s="16" t="inlineStr"/>
      <c r="G37" s="16" t="inlineStr">
        <is>
          <t>Crude analysis</t>
        </is>
      </c>
      <c r="H37" s="16" t="inlineStr">
        <is>
          <t>OR</t>
        </is>
      </c>
      <c r="I37" s="16" t="inlineStr">
        <is>
          <t>Crude / unadjusted</t>
        </is>
      </c>
      <c r="J37" s="16" t="inlineStr"/>
      <c r="K37" s="16" t="inlineStr"/>
      <c r="L37" s="16" t="inlineStr"/>
      <c r="M37" s="16" t="n">
        <v>95</v>
      </c>
      <c r="N37" s="16" t="inlineStr"/>
      <c r="O37" s="16" t="n">
        <v>2</v>
      </c>
      <c r="P37" s="16" t="n">
        <v>9</v>
      </c>
      <c r="Q37" s="16" t="n">
        <v>16</v>
      </c>
      <c r="R37" s="16" t="n">
        <v>136</v>
      </c>
      <c r="S37" s="20">
        <f>IF(M37="",1.96,IF(M37=90,1.645,IF(M37=99,2.576,1.96)))</f>
        <v/>
      </c>
      <c r="T37" s="20">
        <f>IFERROR(LN(J37),"")</f>
        <v/>
      </c>
      <c r="U37" s="20">
        <f>IFERROR((LN(L37)-LN(K37))/(2*S37),"")</f>
        <v/>
      </c>
      <c r="V37" s="20">
        <f>IFERROR(LN((O37*R37)/(P37*Q37)),"")</f>
        <v/>
      </c>
      <c r="W37" s="20">
        <f>IFERROR(SQRT(1/O37+1/P37+1/Q37+1/R37),"")</f>
        <v/>
      </c>
      <c r="X37" s="20">
        <f>IFERROR(IF(T37&lt;&gt;"",T37,V37),"")</f>
        <v/>
      </c>
      <c r="Y37" s="20">
        <f>IFERROR(IF(U37&lt;&gt;"",U37,W37),"")</f>
        <v/>
      </c>
      <c r="Z37" s="20">
        <f>IFERROR(EXP(X37),"")</f>
        <v/>
      </c>
      <c r="AA37" s="16" t="inlineStr">
        <is>
          <t>Yes</t>
        </is>
      </c>
      <c r="AB37" s="20">
        <f>IF(AA37="Yes",B37,"")</f>
        <v/>
      </c>
      <c r="AC37" s="16" t="inlineStr">
        <is>
          <t>Crude 2x2 (a=2,b=9,c=16,d=136)</t>
        </is>
      </c>
      <c r="AD37" s="16" t="inlineStr">
        <is>
          <t>source table (see PDF)</t>
        </is>
      </c>
      <c r="AE37" s="16" t="inlineStr">
        <is>
          <t>UNVERIFIED - needs extraction</t>
        </is>
      </c>
      <c r="AF37" s="16" t="inlineStr">
        <is>
          <t>p=0.776; ICU enteral nutrition.</t>
        </is>
      </c>
    </row>
    <row r="38">
      <c r="A38" s="16" t="inlineStr">
        <is>
          <t>E36</t>
        </is>
      </c>
      <c r="B38" s="16" t="inlineStr">
        <is>
          <t>S58</t>
        </is>
      </c>
      <c r="C38" s="16" t="inlineStr">
        <is>
          <t>Tetracyclines (class, pooled)</t>
        </is>
      </c>
      <c r="D38" s="16" t="inlineStr">
        <is>
          <t>Tetracycline-class (pooled)</t>
        </is>
      </c>
      <c r="E38" s="16" t="inlineStr">
        <is>
          <t>Other antibiotics (pooled)</t>
        </is>
      </c>
      <c r="F38" s="16" t="inlineStr"/>
      <c r="G38" s="16" t="inlineStr">
        <is>
          <t>HA-CDI</t>
        </is>
      </c>
      <c r="H38" s="16" t="inlineStr">
        <is>
          <t>OR</t>
        </is>
      </c>
      <c r="I38" s="16" t="inlineStr">
        <is>
          <t>Unclear</t>
        </is>
      </c>
      <c r="J38" s="16" t="n">
        <v>0.393</v>
      </c>
      <c r="K38" s="16" t="n">
        <v>0.305</v>
      </c>
      <c r="L38" s="16" t="n">
        <v>0.506</v>
      </c>
      <c r="M38" s="16" t="n">
        <v>95</v>
      </c>
      <c r="N38" s="16" t="inlineStr"/>
      <c r="O38" s="16" t="inlineStr"/>
      <c r="P38" s="16" t="inlineStr"/>
      <c r="Q38" s="16" t="inlineStr"/>
      <c r="R38" s="16" t="inlineStr"/>
      <c r="S38" s="20">
        <f>IF(M38="",1.96,IF(M38=90,1.645,IF(M38=99,2.576,1.96)))</f>
        <v/>
      </c>
      <c r="T38" s="20">
        <f>IFERROR(LN(J38),"")</f>
        <v/>
      </c>
      <c r="U38" s="20">
        <f>IFERROR((LN(L38)-LN(K38))/(2*S38),"")</f>
        <v/>
      </c>
      <c r="V38" s="20">
        <f>IFERROR(LN((O38*R38)/(P38*Q38)),"")</f>
        <v/>
      </c>
      <c r="W38" s="20">
        <f>IFERROR(SQRT(1/O38+1/P38+1/Q38+1/R38),"")</f>
        <v/>
      </c>
      <c r="X38" s="20">
        <f>IFERROR(IF(T38&lt;&gt;"",T38,V38),"")</f>
        <v/>
      </c>
      <c r="Y38" s="20">
        <f>IFERROR(IF(U38&lt;&gt;"",U38,W38),"")</f>
        <v/>
      </c>
      <c r="Z38" s="20">
        <f>IFERROR(EXP(X38),"")</f>
        <v/>
      </c>
      <c r="AA38" s="16" t="inlineStr">
        <is>
          <t>Yes</t>
        </is>
      </c>
      <c r="AB38" s="20">
        <f>IF(AA38="Yes",B38,"")</f>
        <v/>
      </c>
      <c r="AC38" s="16" t="inlineStr">
        <is>
          <t>Protective; confirm adjusted vs crude</t>
        </is>
      </c>
      <c r="AD38" s="16" t="inlineStr">
        <is>
          <t>source table (see PDF)</t>
        </is>
      </c>
      <c r="AE38" s="16" t="inlineStr">
        <is>
          <t>UNVERIFIED - needs extraction</t>
        </is>
      </c>
      <c r="AF38" s="16" t="inlineStr">
        <is>
          <t>Large HO-CDI study.</t>
        </is>
      </c>
    </row>
    <row r="39">
      <c r="A39" s="16" t="inlineStr">
        <is>
          <t>E37</t>
        </is>
      </c>
      <c r="B39" s="16" t="inlineStr">
        <is>
          <t>S59</t>
        </is>
      </c>
      <c r="C39" s="16" t="inlineStr">
        <is>
          <t>Doxycycline</t>
        </is>
      </c>
      <c r="D39" s="16" t="inlineStr">
        <is>
          <t>Individual tetracycline agent</t>
        </is>
      </c>
      <c r="E39" s="16" t="inlineStr">
        <is>
          <t>Other antibiotics (pooled)</t>
        </is>
      </c>
      <c r="F39" s="16" t="inlineStr"/>
      <c r="G39" s="16" t="inlineStr">
        <is>
          <t>Adjusted analysis</t>
        </is>
      </c>
      <c r="H39" s="16" t="inlineStr">
        <is>
          <t>aOR</t>
        </is>
      </c>
      <c r="I39" s="16" t="inlineStr">
        <is>
          <t>Adjusted (multivariable)</t>
        </is>
      </c>
      <c r="J39" s="16" t="n">
        <v>0.5</v>
      </c>
      <c r="K39" s="16" t="n">
        <v>0.3</v>
      </c>
      <c r="L39" s="16" t="n">
        <v>0.8</v>
      </c>
      <c r="M39" s="16" t="n">
        <v>95</v>
      </c>
      <c r="N39" s="16" t="inlineStr"/>
      <c r="O39" s="16" t="inlineStr"/>
      <c r="P39" s="16" t="inlineStr"/>
      <c r="Q39" s="16" t="inlineStr"/>
      <c r="R39" s="16" t="inlineStr"/>
      <c r="S39" s="20">
        <f>IF(M39="",1.96,IF(M39=90,1.645,IF(M39=99,2.576,1.96)))</f>
        <v/>
      </c>
      <c r="T39" s="20">
        <f>IFERROR(LN(J39),"")</f>
        <v/>
      </c>
      <c r="U39" s="20">
        <f>IFERROR((LN(L39)-LN(K39))/(2*S39),"")</f>
        <v/>
      </c>
      <c r="V39" s="20">
        <f>IFERROR(LN((O39*R39)/(P39*Q39)),"")</f>
        <v/>
      </c>
      <c r="W39" s="20">
        <f>IFERROR(SQRT(1/O39+1/P39+1/Q39+1/R39),"")</f>
        <v/>
      </c>
      <c r="X39" s="20">
        <f>IFERROR(IF(T39&lt;&gt;"",T39,V39),"")</f>
        <v/>
      </c>
      <c r="Y39" s="20">
        <f>IFERROR(IF(U39&lt;&gt;"",U39,W39),"")</f>
        <v/>
      </c>
      <c r="Z39" s="20">
        <f>IFERROR(EXP(X39),"")</f>
        <v/>
      </c>
      <c r="AA39" s="16" t="inlineStr">
        <is>
          <t>Yes</t>
        </is>
      </c>
      <c r="AB39" s="20">
        <f>IF(AA39="Yes",B39,"")</f>
        <v/>
      </c>
      <c r="AC39" s="16" t="inlineStr">
        <is>
          <t>Also 0.6 (0.3-1.0)</t>
        </is>
      </c>
      <c r="AD39" s="16" t="inlineStr">
        <is>
          <t>source table (see PDF)</t>
        </is>
      </c>
      <c r="AE39" s="16" t="inlineStr">
        <is>
          <t>UNVERIFIED - needs extraction</t>
        </is>
      </c>
      <c r="AF39" s="16" t="inlineStr">
        <is>
          <t>Doxycycline protective.</t>
        </is>
      </c>
    </row>
    <row r="40">
      <c r="A40" s="16" t="inlineStr">
        <is>
          <t>E38</t>
        </is>
      </c>
      <c r="B40" s="16" t="inlineStr">
        <is>
          <t>S61</t>
        </is>
      </c>
      <c r="C40" s="16" t="inlineStr">
        <is>
          <t>Tetracyclines (class, pooled)</t>
        </is>
      </c>
      <c r="D40" s="16" t="inlineStr">
        <is>
          <t>Tetracycline-class (pooled)</t>
        </is>
      </c>
      <c r="E40" s="16" t="inlineStr">
        <is>
          <t>Other antibiotics (pooled)</t>
        </is>
      </c>
      <c r="F40" s="16" t="inlineStr"/>
      <c r="G40" s="16" t="inlineStr">
        <is>
          <t>Overall / primary</t>
        </is>
      </c>
      <c r="H40" s="16" t="inlineStr">
        <is>
          <t>OR</t>
        </is>
      </c>
      <c r="I40" s="16" t="inlineStr">
        <is>
          <t>Unclear</t>
        </is>
      </c>
      <c r="J40" s="16" t="n">
        <v>0.58</v>
      </c>
      <c r="K40" s="16" t="n">
        <v>0.51</v>
      </c>
      <c r="L40" s="16" t="n">
        <v>0.66</v>
      </c>
      <c r="M40" s="16" t="n">
        <v>95</v>
      </c>
      <c r="N40" s="16" t="inlineStr"/>
      <c r="O40" s="16" t="inlineStr"/>
      <c r="P40" s="16" t="inlineStr"/>
      <c r="Q40" s="16" t="inlineStr"/>
      <c r="R40" s="16" t="inlineStr"/>
      <c r="S40" s="20">
        <f>IF(M40="",1.96,IF(M40=90,1.645,IF(M40=99,2.576,1.96)))</f>
        <v/>
      </c>
      <c r="T40" s="20">
        <f>IFERROR(LN(J40),"")</f>
        <v/>
      </c>
      <c r="U40" s="20">
        <f>IFERROR((LN(L40)-LN(K40))/(2*S40),"")</f>
        <v/>
      </c>
      <c r="V40" s="20">
        <f>IFERROR(LN((O40*R40)/(P40*Q40)),"")</f>
        <v/>
      </c>
      <c r="W40" s="20">
        <f>IFERROR(SQRT(1/O40+1/P40+1/Q40+1/R40),"")</f>
        <v/>
      </c>
      <c r="X40" s="20">
        <f>IFERROR(IF(T40&lt;&gt;"",T40,V40),"")</f>
        <v/>
      </c>
      <c r="Y40" s="20">
        <f>IFERROR(IF(U40&lt;&gt;"",U40,W40),"")</f>
        <v/>
      </c>
      <c r="Z40" s="20">
        <f>IFERROR(EXP(X40),"")</f>
        <v/>
      </c>
      <c r="AA40" s="16" t="inlineStr">
        <is>
          <t>Yes</t>
        </is>
      </c>
      <c r="AB40" s="20">
        <f>IF(AA40="Yes",B40,"")</f>
        <v/>
      </c>
      <c r="AC40" s="16" t="inlineStr">
        <is>
          <t>Conf abstract</t>
        </is>
      </c>
      <c r="AD40" s="16" t="inlineStr">
        <is>
          <t>source table (see PDF)</t>
        </is>
      </c>
      <c r="AE40" s="16" t="inlineStr">
        <is>
          <t>UNVERIFIED - needs extraction</t>
        </is>
      </c>
      <c r="AF40" s="16" t="inlineStr">
        <is>
          <t>Protective.</t>
        </is>
      </c>
    </row>
    <row r="41">
      <c r="A41" s="16" t="inlineStr">
        <is>
          <t>E39</t>
        </is>
      </c>
      <c r="B41" s="16" t="inlineStr">
        <is>
          <t>S62</t>
        </is>
      </c>
      <c r="C41" s="16" t="inlineStr">
        <is>
          <t>Tetracycline</t>
        </is>
      </c>
      <c r="D41" s="16" t="inlineStr">
        <is>
          <t>Individual tetracycline agent</t>
        </is>
      </c>
      <c r="E41" s="16" t="inlineStr">
        <is>
          <t>Other antibiotics (pooled)</t>
        </is>
      </c>
      <c r="F41" s="16" t="inlineStr"/>
      <c r="G41" s="16" t="inlineStr">
        <is>
          <t>Overall / primary</t>
        </is>
      </c>
      <c r="H41" s="16" t="inlineStr">
        <is>
          <t>OR</t>
        </is>
      </c>
      <c r="I41" s="16" t="inlineStr">
        <is>
          <t>Unclear</t>
        </is>
      </c>
      <c r="J41" s="16" t="n">
        <v>2.9</v>
      </c>
      <c r="K41" s="16" t="n">
        <v>1.33</v>
      </c>
      <c r="L41" s="16" t="n">
        <v>6.33</v>
      </c>
      <c r="M41" s="16" t="n">
        <v>95</v>
      </c>
      <c r="N41" s="16" t="inlineStr"/>
      <c r="O41" s="16" t="inlineStr"/>
      <c r="P41" s="16" t="inlineStr"/>
      <c r="Q41" s="16" t="inlineStr"/>
      <c r="R41" s="16" t="inlineStr"/>
      <c r="S41" s="20">
        <f>IF(M41="",1.96,IF(M41=90,1.645,IF(M41=99,2.576,1.96)))</f>
        <v/>
      </c>
      <c r="T41" s="20">
        <f>IFERROR(LN(J41),"")</f>
        <v/>
      </c>
      <c r="U41" s="20">
        <f>IFERROR((LN(L41)-LN(K41))/(2*S41),"")</f>
        <v/>
      </c>
      <c r="V41" s="20">
        <f>IFERROR(LN((O41*R41)/(P41*Q41)),"")</f>
        <v/>
      </c>
      <c r="W41" s="20">
        <f>IFERROR(SQRT(1/O41+1/P41+1/Q41+1/R41),"")</f>
        <v/>
      </c>
      <c r="X41" s="20">
        <f>IFERROR(IF(T41&lt;&gt;"",T41,V41),"")</f>
        <v/>
      </c>
      <c r="Y41" s="20">
        <f>IFERROR(IF(U41&lt;&gt;"",U41,W41),"")</f>
        <v/>
      </c>
      <c r="Z41" s="20">
        <f>IFERROR(EXP(X41),"")</f>
        <v/>
      </c>
      <c r="AA41" s="16" t="inlineStr">
        <is>
          <t>Yes</t>
        </is>
      </c>
      <c r="AB41" s="20">
        <f>IF(AA41="Yes",B41,"")</f>
        <v/>
      </c>
      <c r="AC41" s="16" t="inlineStr">
        <is>
          <t>Cases 16 (3.3%) vs controls 12 (1.3%)</t>
        </is>
      </c>
      <c r="AD41" s="16" t="inlineStr">
        <is>
          <t>source table (see PDF)</t>
        </is>
      </c>
      <c r="AE41" s="16" t="inlineStr">
        <is>
          <t>UNVERIFIED - needs extraction</t>
        </is>
      </c>
      <c r="AF41" s="16" t="inlineStr">
        <is>
          <t>Harmful association; confirm adjusted vs crude.</t>
        </is>
      </c>
    </row>
    <row r="42">
      <c r="A42" s="16" t="inlineStr">
        <is>
          <t>E40</t>
        </is>
      </c>
      <c r="B42" s="16" t="inlineStr">
        <is>
          <t>S63</t>
        </is>
      </c>
      <c r="C42" s="16" t="inlineStr">
        <is>
          <t>Doxycycline</t>
        </is>
      </c>
      <c r="D42" s="16" t="inlineStr">
        <is>
          <t>Individual tetracycline agent</t>
        </is>
      </c>
      <c r="E42" s="16" t="inlineStr">
        <is>
          <t>Reference category (multivariable)</t>
        </is>
      </c>
      <c r="F42" s="16" t="inlineStr">
        <is>
          <t>doxycycline = reference category</t>
        </is>
      </c>
      <c r="G42" s="16" t="inlineStr">
        <is>
          <t>Overall / primary</t>
        </is>
      </c>
      <c r="H42" s="16" t="inlineStr">
        <is>
          <t>aOR</t>
        </is>
      </c>
      <c r="I42" s="16" t="inlineStr">
        <is>
          <t>Adjusted (multivariable)</t>
        </is>
      </c>
      <c r="J42" s="16" t="n">
        <v>1</v>
      </c>
      <c r="K42" s="16" t="inlineStr"/>
      <c r="L42" s="16" t="inlineStr"/>
      <c r="M42" s="16" t="n">
        <v>95</v>
      </c>
      <c r="N42" s="16" t="inlineStr"/>
      <c r="O42" s="16" t="inlineStr"/>
      <c r="P42" s="16" t="inlineStr"/>
      <c r="Q42" s="16" t="inlineStr"/>
      <c r="R42" s="16" t="inlineStr"/>
      <c r="S42" s="20">
        <f>IF(M42="",1.96,IF(M42=90,1.645,IF(M42=99,2.576,1.96)))</f>
        <v/>
      </c>
      <c r="T42" s="20">
        <f>IFERROR(LN(J42),"")</f>
        <v/>
      </c>
      <c r="U42" s="20">
        <f>IFERROR((LN(L42)-LN(K42))/(2*S42),"")</f>
        <v/>
      </c>
      <c r="V42" s="20">
        <f>IFERROR(LN((O42*R42)/(P42*Q42)),"")</f>
        <v/>
      </c>
      <c r="W42" s="20">
        <f>IFERROR(SQRT(1/O42+1/P42+1/Q42+1/R42),"")</f>
        <v/>
      </c>
      <c r="X42" s="20">
        <f>IFERROR(IF(T42&lt;&gt;"",T42,V42),"")</f>
        <v/>
      </c>
      <c r="Y42" s="20">
        <f>IFERROR(IF(U42&lt;&gt;"",U42,W42),"")</f>
        <v/>
      </c>
      <c r="Z42" s="20">
        <f>IFERROR(EXP(X42),"")</f>
        <v/>
      </c>
      <c r="AA42" s="16" t="inlineStr">
        <is>
          <t>Maybe</t>
        </is>
      </c>
      <c r="AB42" s="20">
        <f>IF(AA42="Yes",B42,"")</f>
        <v/>
      </c>
      <c r="AC42" s="16" t="inlineStr">
        <is>
          <t>Doxycycline is REFERENCE; others' aOR relative to doxy (clindamycin 8.81, etc.)</t>
        </is>
      </c>
      <c r="AD42" s="16" t="inlineStr">
        <is>
          <t>source table (see PDF)</t>
        </is>
      </c>
      <c r="AE42" s="16" t="inlineStr">
        <is>
          <t>UNVERIFIED - needs extraction</t>
        </is>
      </c>
      <c r="AF42" s="16" t="inlineStr">
        <is>
          <t>Derive tetracycline-vs-class contrasts.</t>
        </is>
      </c>
    </row>
    <row r="43">
      <c r="A43" s="16" t="inlineStr">
        <is>
          <t>E41</t>
        </is>
      </c>
      <c r="B43" s="16" t="inlineStr">
        <is>
          <t>S22</t>
        </is>
      </c>
      <c r="C43" s="16" t="inlineStr">
        <is>
          <t>Doxycycline</t>
        </is>
      </c>
      <c r="D43" s="16" t="inlineStr">
        <is>
          <t>Individual tetracycline agent</t>
        </is>
      </c>
      <c r="E43" s="16" t="inlineStr">
        <is>
          <t>Specific class (see detail)</t>
        </is>
      </c>
      <c r="F43" s="16" t="inlineStr">
        <is>
          <t>beta-lactam+doxycycline vs azithromycin</t>
        </is>
      </c>
      <c r="G43" s="16" t="inlineStr">
        <is>
          <t>Other</t>
        </is>
      </c>
      <c r="H43" s="16" t="inlineStr">
        <is>
          <t>OR</t>
        </is>
      </c>
      <c r="I43" s="16" t="inlineStr">
        <is>
          <t>Unclear</t>
        </is>
      </c>
      <c r="J43" s="16" t="inlineStr"/>
      <c r="K43" s="16" t="inlineStr"/>
      <c r="L43" s="16" t="inlineStr"/>
      <c r="M43" s="16" t="n">
        <v>95</v>
      </c>
      <c r="N43" s="16" t="inlineStr"/>
      <c r="O43" s="16" t="inlineStr"/>
      <c r="P43" s="16" t="inlineStr"/>
      <c r="Q43" s="16" t="inlineStr"/>
      <c r="R43" s="16" t="inlineStr"/>
      <c r="S43" s="19">
        <f>IF(M43="",1.96,IF(M43=90,1.645,IF(M43=99,2.576,1.96)))</f>
        <v/>
      </c>
      <c r="T43" s="19">
        <f>IFERROR(LN(J43),"")</f>
        <v/>
      </c>
      <c r="U43" s="19">
        <f>IFERROR((LN(L43)-LN(K43))/(2*S43),"")</f>
        <v/>
      </c>
      <c r="V43" s="19">
        <f>IFERROR(LN((O43*R43)/(P43*Q43)),"")</f>
        <v/>
      </c>
      <c r="W43" s="19">
        <f>IFERROR(SQRT(1/O43+1/P43+1/Q43+1/R43),"")</f>
        <v/>
      </c>
      <c r="X43" s="19">
        <f>IFERROR(IF(T43&lt;&gt;"",T43,V43),"")</f>
        <v/>
      </c>
      <c r="Y43" s="19">
        <f>IFERROR(IF(U43&lt;&gt;"",U43,W43),"")</f>
        <v/>
      </c>
      <c r="Z43" s="19">
        <f>IFERROR(EXP(X43),"")</f>
        <v/>
      </c>
      <c r="AA43" s="23" t="inlineStr">
        <is>
          <t>Maybe</t>
        </is>
      </c>
      <c r="AB43" s="19">
        <f>IF(AA43="Yes",B43,"")</f>
        <v/>
      </c>
      <c r="AC43" s="16" t="inlineStr">
        <is>
          <t>Treatment comparison; CDI outcome unclear</t>
        </is>
      </c>
      <c r="AD43" s="23" t="inlineStr">
        <is>
          <t>source table (see PDF)</t>
        </is>
      </c>
      <c r="AE43" s="23" t="inlineStr">
        <is>
          <t>UNVERIFIED - needs extraction</t>
        </is>
      </c>
      <c r="AF43" s="16" t="inlineStr">
        <is>
          <t>Combination therapy; check CDI outcome in source.</t>
        </is>
      </c>
    </row>
    <row r="44">
      <c r="A44" s="16" t="inlineStr">
        <is>
          <t>E42</t>
        </is>
      </c>
      <c r="B44" s="16" t="inlineStr">
        <is>
          <t>S56</t>
        </is>
      </c>
      <c r="C44" s="16" t="inlineStr">
        <is>
          <t>Tetracycline</t>
        </is>
      </c>
      <c r="D44" s="16" t="inlineStr">
        <is>
          <t>Individual tetracycline agent</t>
        </is>
      </c>
      <c r="E44" s="16" t="inlineStr">
        <is>
          <t>Other antibiotics (pooled)</t>
        </is>
      </c>
      <c r="F44" s="16" t="inlineStr">
        <is>
          <t>tetracycline derivative</t>
        </is>
      </c>
      <c r="G44" s="16" t="inlineStr">
        <is>
          <t>Other</t>
        </is>
      </c>
      <c r="H44" s="16" t="inlineStr">
        <is>
          <t>OR</t>
        </is>
      </c>
      <c r="I44" s="16" t="inlineStr">
        <is>
          <t>Unclear</t>
        </is>
      </c>
      <c r="J44" s="16" t="inlineStr"/>
      <c r="K44" s="16" t="inlineStr"/>
      <c r="L44" s="16" t="inlineStr"/>
      <c r="M44" s="16" t="n">
        <v>95</v>
      </c>
      <c r="N44" s="16" t="inlineStr"/>
      <c r="O44" s="16" t="inlineStr"/>
      <c r="P44" s="16" t="inlineStr"/>
      <c r="Q44" s="16" t="inlineStr"/>
      <c r="R44" s="16" t="inlineStr"/>
      <c r="S44" s="19">
        <f>IF(M44="",1.96,IF(M44=90,1.645,IF(M44=99,2.576,1.96)))</f>
        <v/>
      </c>
      <c r="T44" s="19">
        <f>IFERROR(LN(J44),"")</f>
        <v/>
      </c>
      <c r="U44" s="19">
        <f>IFERROR((LN(L44)-LN(K44))/(2*S44),"")</f>
        <v/>
      </c>
      <c r="V44" s="19">
        <f>IFERROR(LN((O44*R44)/(P44*Q44)),"")</f>
        <v/>
      </c>
      <c r="W44" s="19">
        <f>IFERROR(SQRT(1/O44+1/P44+1/Q44+1/R44),"")</f>
        <v/>
      </c>
      <c r="X44" s="19">
        <f>IFERROR(IF(T44&lt;&gt;"",T44,V44),"")</f>
        <v/>
      </c>
      <c r="Y44" s="19">
        <f>IFERROR(IF(U44&lt;&gt;"",U44,W44),"")</f>
        <v/>
      </c>
      <c r="Z44" s="19">
        <f>IFERROR(EXP(X44),"")</f>
        <v/>
      </c>
      <c r="AA44" s="23" t="inlineStr">
        <is>
          <t>Maybe</t>
        </is>
      </c>
      <c r="AB44" s="19">
        <f>IF(AA44="Yes",B44,"")</f>
        <v/>
      </c>
      <c r="AC44" s="16" t="inlineStr">
        <is>
          <t>Outcome = treatment-related harms</t>
        </is>
      </c>
      <c r="AD44" s="23" t="inlineStr">
        <is>
          <t>source table (see PDF)</t>
        </is>
      </c>
      <c r="AE44" s="23" t="inlineStr">
        <is>
          <t>UNVERIFIED - needs extraction</t>
        </is>
      </c>
      <c r="AF44" s="16" t="inlineStr">
        <is>
          <t>Check for CDI-specific estimate.</t>
        </is>
      </c>
    </row>
  </sheetData>
  <dataValidations count="8">
    <dataValidation sqref="C2:C42" showDropDown="0" showInputMessage="0" showErrorMessage="0" allowBlank="1" type="list">
      <formula1>Lookups!$G$3:$G$24</formula1>
    </dataValidation>
    <dataValidation sqref="D2:D42" showDropDown="0" showInputMessage="0" showErrorMessage="0" allowBlank="1" type="list">
      <formula1>Lookups!$H$3:$H$7</formula1>
    </dataValidation>
    <dataValidation sqref="E2:E42" showDropDown="0" showInputMessage="0" showErrorMessage="0" allowBlank="1" type="list">
      <formula1>Lookups!$I$3:$I$7</formula1>
    </dataValidation>
    <dataValidation sqref="G2:G42" showDropDown="0" showInputMessage="0" showErrorMessage="0" allowBlank="1" type="list">
      <formula1>Lookups!$J$3:$J$11</formula1>
    </dataValidation>
    <dataValidation sqref="H2:H42" showDropDown="0" showInputMessage="0" showErrorMessage="0" allowBlank="1" type="list">
      <formula1>Lookups!$K$3:$K$12</formula1>
    </dataValidation>
    <dataValidation sqref="I2:I42" showDropDown="0" showInputMessage="0" showErrorMessage="0" allowBlank="1" type="list">
      <formula1>Lookups!$L$3:$L$7</formula1>
    </dataValidation>
    <dataValidation sqref="AA2:AA42" showDropDown="0" showInputMessage="0" showErrorMessage="0" allowBlank="1" type="list">
      <formula1>Lookups!$T$3:$T$5</formula1>
    </dataValidation>
    <dataValidation sqref="AE2:AE42" showDropDown="0" showInputMessage="0" showErrorMessage="0" allowBlank="1" type="list">
      <formula1>Lookups!$U$3:$U$6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18" customWidth="1" min="4" max="4"/>
    <col width="28" customWidth="1" min="5" max="5"/>
    <col width="18" customWidth="1" min="6" max="6"/>
    <col width="32" customWidth="1" min="7" max="7"/>
    <col width="26" customWidth="1" min="8" max="8"/>
    <col width="14" customWidth="1" min="9" max="9"/>
    <col width="10" customWidth="1" min="10" max="10"/>
    <col width="11" customWidth="1" min="11" max="11"/>
    <col width="11" customWidth="1" min="12" max="12"/>
    <col width="10" customWidth="1" min="13" max="13"/>
    <col width="12" customWidth="1" min="14" max="14"/>
    <col width="34" customWidth="1" min="15" max="15"/>
  </cols>
  <sheetData>
    <row r="1" ht="42" customHeight="1">
      <c r="A1" s="12" t="inlineStr">
        <is>
          <t>Combo_ID</t>
        </is>
      </c>
      <c r="B1" s="12" t="inlineStr">
        <is>
          <t>Study_ID</t>
        </is>
      </c>
      <c r="C1" s="12" t="inlineStr">
        <is>
          <t>Combination_present</t>
        </is>
      </c>
      <c r="D1" s="12" t="inlineStr">
        <is>
          <t>Tetracycline_agent</t>
        </is>
      </c>
      <c r="E1" s="12" t="inlineStr">
        <is>
          <t>Co_administered_agents</t>
        </is>
      </c>
      <c r="F1" s="12" t="inlineStr">
        <is>
          <t>Combo_context</t>
        </is>
      </c>
      <c r="G1" s="12" t="inlineStr">
        <is>
          <t>Combo_regimen_description</t>
        </is>
      </c>
      <c r="H1" s="12" t="inlineStr">
        <is>
          <t>Combo_vs_comparator</t>
        </is>
      </c>
      <c r="I1" s="12" t="inlineStr">
        <is>
          <t>Combo_estimate_type</t>
        </is>
      </c>
      <c r="J1" s="12" t="inlineStr">
        <is>
          <t>Combo_point</t>
        </is>
      </c>
      <c r="K1" s="12" t="inlineStr">
        <is>
          <t>Combo_CI_lower</t>
        </is>
      </c>
      <c r="L1" s="12" t="inlineStr">
        <is>
          <t>Combo_CI_upper</t>
        </is>
      </c>
      <c r="M1" s="12" t="inlineStr">
        <is>
          <t>N_combo</t>
        </is>
      </c>
      <c r="N1" s="12" t="inlineStr">
        <is>
          <t>N_CDI_in_combo</t>
        </is>
      </c>
      <c r="O1" s="12" t="inlineStr">
        <is>
          <t>Notes</t>
        </is>
      </c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</row>
    <row r="3">
      <c r="A3" s="16" t="inlineStr">
        <is>
          <t>C01</t>
        </is>
      </c>
      <c r="B3" s="16" t="inlineStr">
        <is>
          <t>S19</t>
        </is>
      </c>
      <c r="C3" s="16" t="inlineStr">
        <is>
          <t>Yes</t>
        </is>
      </c>
      <c r="D3" s="16" t="inlineStr">
        <is>
          <t>Doxycycline</t>
        </is>
      </c>
      <c r="E3" s="16" t="inlineStr">
        <is>
          <t>Ceftriaxone</t>
        </is>
      </c>
      <c r="F3" s="16" t="inlineStr">
        <is>
          <t>Observed co-exposure</t>
        </is>
      </c>
      <c r="G3" s="16" t="inlineStr">
        <is>
          <t>Doxycycline co-administered with ceftriaxone</t>
        </is>
      </c>
      <c r="H3" s="16" t="inlineStr">
        <is>
          <t>Ceftriaxone + doxycycline vs ceftriaxone alone</t>
        </is>
      </c>
      <c r="I3" s="16" t="inlineStr">
        <is>
          <t>aHR</t>
        </is>
      </c>
      <c r="J3" s="16" t="n">
        <v>0.73</v>
      </c>
      <c r="K3" s="16" t="n">
        <v>0.5600000000000001</v>
      </c>
      <c r="L3" s="16" t="n">
        <v>0.96</v>
      </c>
      <c r="M3" s="16" t="inlineStr"/>
      <c r="N3" s="16" t="inlineStr"/>
      <c r="O3" s="16" t="inlineStr">
        <is>
          <t>Doernberg 2012 - combination context central; protective.</t>
        </is>
      </c>
    </row>
    <row r="4">
      <c r="A4" s="16" t="inlineStr">
        <is>
          <t>C02</t>
        </is>
      </c>
      <c r="B4" s="16" t="inlineStr">
        <is>
          <t>S44</t>
        </is>
      </c>
      <c r="C4" s="16" t="inlineStr">
        <is>
          <t>Yes</t>
        </is>
      </c>
      <c r="D4" s="16" t="inlineStr">
        <is>
          <t>Doxycycline</t>
        </is>
      </c>
      <c r="E4" s="16" t="inlineStr">
        <is>
          <t>Beta-lactam</t>
        </is>
      </c>
      <c r="F4" s="16" t="inlineStr">
        <is>
          <t>Trial regimen arm</t>
        </is>
      </c>
      <c r="G4" s="16" t="inlineStr">
        <is>
          <t>Empiric beta-lactam + doxycycline for CAP</t>
        </is>
      </c>
      <c r="H4" s="16" t="inlineStr">
        <is>
          <t>Beta-lactam+doxycycline vs beta-lactam+macrolide/other</t>
        </is>
      </c>
      <c r="I4" s="16" t="inlineStr">
        <is>
          <t>aOR</t>
        </is>
      </c>
      <c r="J4" s="16" t="n">
        <v>0.85</v>
      </c>
      <c r="K4" s="16" t="n">
        <v>0.26</v>
      </c>
      <c r="L4" s="16" t="n">
        <v>2.79</v>
      </c>
      <c r="M4" s="16" t="inlineStr"/>
      <c r="N4" s="16" t="inlineStr"/>
      <c r="O4" s="16" t="inlineStr">
        <is>
          <t>Reeves 2024; new CDI ~0.4%; CDI outcome.</t>
        </is>
      </c>
    </row>
    <row r="5">
      <c r="A5" s="16" t="inlineStr">
        <is>
          <t>C03</t>
        </is>
      </c>
      <c r="B5" s="16" t="inlineStr">
        <is>
          <t>S22</t>
        </is>
      </c>
      <c r="C5" s="16" t="inlineStr">
        <is>
          <t>Yes</t>
        </is>
      </c>
      <c r="D5" s="16" t="inlineStr">
        <is>
          <t>Doxycycline</t>
        </is>
      </c>
      <c r="E5" s="16" t="inlineStr">
        <is>
          <t>Beta-lactam</t>
        </is>
      </c>
      <c r="F5" s="16" t="inlineStr">
        <is>
          <t>Treatment of infection</t>
        </is>
      </c>
      <c r="G5" s="16" t="inlineStr">
        <is>
          <t>Beta-lactams + doxycycline for severe CAP</t>
        </is>
      </c>
      <c r="H5" s="16" t="inlineStr">
        <is>
          <t>vs azithromycin</t>
        </is>
      </c>
      <c r="I5" s="16" t="inlineStr"/>
      <c r="J5" s="16" t="inlineStr"/>
      <c r="K5" s="16" t="inlineStr"/>
      <c r="L5" s="16" t="inlineStr"/>
      <c r="M5" s="16" t="inlineStr"/>
      <c r="N5" s="16" t="inlineStr"/>
      <c r="O5" s="16" t="inlineStr">
        <is>
          <t>Greco Kinney 2023; CDI outcome unclear - verify.</t>
        </is>
      </c>
    </row>
    <row r="6">
      <c r="A6" s="16" t="inlineStr">
        <is>
          <t>C04</t>
        </is>
      </c>
      <c r="B6" s="16" t="inlineStr">
        <is>
          <t>S45</t>
        </is>
      </c>
      <c r="C6" s="16" t="inlineStr">
        <is>
          <t>Yes</t>
        </is>
      </c>
      <c r="D6" s="16" t="inlineStr">
        <is>
          <t>Tetracyclines (class)</t>
        </is>
      </c>
      <c r="E6" s="16" t="inlineStr">
        <is>
          <t>Multiple (2/3/4+ agents)</t>
        </is>
      </c>
      <c r="F6" s="16" t="inlineStr">
        <is>
          <t>Observed co-exposure</t>
        </is>
      </c>
      <c r="G6" s="16" t="inlineStr">
        <is>
          <t>Number of antimicrobial agents analyzed vs CDI</t>
        </is>
      </c>
      <c r="H6" s="16" t="inlineStr">
        <is>
          <t>Combinations of 2/3/4+ agents vs single agent</t>
        </is>
      </c>
      <c r="I6" s="16" t="inlineStr">
        <is>
          <t>aOR</t>
        </is>
      </c>
      <c r="J6" s="16" t="inlineStr"/>
      <c r="K6" s="16" t="inlineStr"/>
      <c r="L6" s="16" t="inlineStr"/>
      <c r="M6" s="16" t="inlineStr"/>
      <c r="N6" s="16" t="inlineStr">
        <is>
          <t>Saito 2025; extract tetracycline-containing combinations.</t>
        </is>
      </c>
      <c r="O6" s="17" t="n"/>
    </row>
    <row r="7">
      <c r="A7" s="16" t="inlineStr">
        <is>
          <t>C05</t>
        </is>
      </c>
      <c r="B7" s="16" t="inlineStr">
        <is>
          <t>S13</t>
        </is>
      </c>
      <c r="C7" s="16" t="inlineStr">
        <is>
          <t>Yes</t>
        </is>
      </c>
      <c r="D7" s="16" t="inlineStr">
        <is>
          <t>Doxycycline</t>
        </is>
      </c>
      <c r="E7" s="16" t="inlineStr">
        <is>
          <t>Macrolides</t>
        </is>
      </c>
      <c r="F7" s="16" t="inlineStr">
        <is>
          <t>Treatment of infection</t>
        </is>
      </c>
      <c r="G7" s="16" t="inlineStr">
        <is>
          <t>Doxycycline commonly given with macrolides in CAP</t>
        </is>
      </c>
      <c r="H7" s="16" t="inlineStr">
        <is>
          <t>Combination vs monotherapy</t>
        </is>
      </c>
      <c r="I7" s="16" t="inlineStr"/>
      <c r="J7" s="16" t="inlineStr"/>
      <c r="K7" s="16" t="inlineStr"/>
      <c r="L7" s="16" t="inlineStr"/>
      <c r="M7" s="16" t="inlineStr"/>
      <c r="N7" s="16" t="inlineStr"/>
      <c r="O7" s="16" t="inlineStr">
        <is>
          <t>Chalmers 2016; combination frequent - check CDI by regimen.</t>
        </is>
      </c>
    </row>
    <row r="8">
      <c r="A8" s="16" t="inlineStr">
        <is>
          <t>C06</t>
        </is>
      </c>
      <c r="B8" s="16" t="inlineStr">
        <is>
          <t>S40</t>
        </is>
      </c>
      <c r="C8" s="16" t="inlineStr">
        <is>
          <t>No</t>
        </is>
      </c>
      <c r="D8" s="16" t="inlineStr">
        <is>
          <t>Doxycycline</t>
        </is>
      </c>
      <c r="E8" s="16" t="inlineStr">
        <is>
          <t>(substitution, not combination)</t>
        </is>
      </c>
      <c r="F8" s="16" t="inlineStr">
        <is>
          <t>Observed co-exposure</t>
        </is>
      </c>
      <c r="G8" s="16" t="inlineStr">
        <is>
          <t>Doxycycline used IN PLACE OF azithromycin</t>
        </is>
      </c>
      <c r="H8" s="16" t="inlineStr">
        <is>
          <t>Doxycycline vs azithromycin</t>
        </is>
      </c>
      <c r="I8" s="16" t="inlineStr">
        <is>
          <t>aOR</t>
        </is>
      </c>
      <c r="J8" s="16" t="n">
        <v>0.83</v>
      </c>
      <c r="K8" s="16" t="n">
        <v>0.7</v>
      </c>
      <c r="L8" s="16" t="n">
        <v>0.99</v>
      </c>
      <c r="M8" s="16" t="inlineStr"/>
      <c r="N8" s="16" t="inlineStr"/>
      <c r="O8" s="16" t="inlineStr">
        <is>
          <t>O'Leary 2023; substitution rather than combination.</t>
        </is>
      </c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</sheetData>
  <dataValidations count="3">
    <dataValidation sqref="C2:C22" showDropDown="0" showInputMessage="0" showErrorMessage="0" allowBlank="1" type="list">
      <formula1>Lookups!$F$3:$F$6</formula1>
    </dataValidation>
    <dataValidation sqref="F2:F22" showDropDown="0" showInputMessage="0" showErrorMessage="0" allowBlank="1" type="list">
      <formula1>Lookups!$M$3:$M$8</formula1>
    </dataValidation>
    <dataValidation sqref="I2:I22" showDropDown="0" showInputMessage="0" showErrorMessage="0" allowBlank="1" type="list">
      <formula1>Lookups!$K$3:$K$12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24" customWidth="1" min="23" max="23"/>
    <col width="28" customWidth="1" min="24" max="24"/>
    <col width="30" customWidth="1" min="25" max="25"/>
  </cols>
  <sheetData>
    <row r="1" ht="42" customHeight="1">
      <c r="A1" s="12" t="inlineStr">
        <is>
          <t>Study_ID</t>
        </is>
      </c>
      <c r="B1" s="12" t="inlineStr">
        <is>
          <t>Age</t>
        </is>
      </c>
      <c r="C1" s="12" t="inlineStr">
        <is>
          <t>Sex</t>
        </is>
      </c>
      <c r="D1" s="12" t="inlineStr">
        <is>
          <t>PPI / acid suppression</t>
        </is>
      </c>
      <c r="E1" s="12" t="inlineStr">
        <is>
          <t>H2RA</t>
        </is>
      </c>
      <c r="F1" s="12" t="inlineStr">
        <is>
          <t>Other/prior antibiotics</t>
        </is>
      </c>
      <c r="G1" s="12" t="inlineStr">
        <is>
          <t>No. of antibiotic classes</t>
        </is>
      </c>
      <c r="H1" s="12" t="inlineStr">
        <is>
          <t>Antibiotic duration/DOT</t>
        </is>
      </c>
      <c r="I1" s="12" t="inlineStr">
        <is>
          <t>Hospitalization/admission</t>
        </is>
      </c>
      <c r="J1" s="12" t="inlineStr">
        <is>
          <t>Length of stay</t>
        </is>
      </c>
      <c r="K1" s="12" t="inlineStr">
        <is>
          <t>ICU admission</t>
        </is>
      </c>
      <c r="L1" s="12" t="inlineStr">
        <is>
          <t>Comorbidity index (Charlson/APACHE)</t>
        </is>
      </c>
      <c r="M1" s="12" t="inlineStr">
        <is>
          <t>Immunosuppression</t>
        </is>
      </c>
      <c r="N1" s="12" t="inlineStr">
        <is>
          <t>Malignancy/chemotherapy</t>
        </is>
      </c>
      <c r="O1" s="12" t="inlineStr">
        <is>
          <t>IBD</t>
        </is>
      </c>
      <c r="P1" s="12" t="inlineStr">
        <is>
          <t>Chronic kidney disease/dialysis</t>
        </is>
      </c>
      <c r="Q1" s="12" t="inlineStr">
        <is>
          <t>Diabetes</t>
        </is>
      </c>
      <c r="R1" s="12" t="inlineStr">
        <is>
          <t>Prior CDI</t>
        </is>
      </c>
      <c r="S1" s="12" t="inlineStr">
        <is>
          <t>Enteral/tube feeding</t>
        </is>
      </c>
      <c r="T1" s="12" t="inlineStr">
        <is>
          <t>GI surgery</t>
        </is>
      </c>
      <c r="U1" s="12" t="inlineStr">
        <is>
          <t>Calendar period/year</t>
        </is>
      </c>
      <c r="V1" s="12" t="inlineStr">
        <is>
          <t>Site/ward (clustering)</t>
        </is>
      </c>
      <c r="W1" s="12" t="inlineStr">
        <is>
          <t>Matching_variables</t>
        </is>
      </c>
      <c r="X1" s="12" t="inlineStr">
        <is>
          <t>Other_adjustments</t>
        </is>
      </c>
      <c r="Y1" s="12" t="inlineStr">
        <is>
          <t>Notes</t>
        </is>
      </c>
    </row>
    <row r="2">
      <c r="A2" s="21" t="inlineStr">
        <is>
          <t>EX-01</t>
        </is>
      </c>
      <c r="B2" s="22" t="inlineStr">
        <is>
          <t>A = Adjusted</t>
        </is>
      </c>
      <c r="C2" s="22" t="inlineStr">
        <is>
          <t>A = Adjusted</t>
        </is>
      </c>
      <c r="D2" s="22" t="inlineStr">
        <is>
          <t>A = Adjusted</t>
        </is>
      </c>
      <c r="E2" s="22" t="inlineStr">
        <is>
          <t>A = Adjusted</t>
        </is>
      </c>
      <c r="F2" s="22" t="inlineStr">
        <is>
          <t>A = Adjusted</t>
        </is>
      </c>
      <c r="G2" s="22" t="inlineStr">
        <is>
          <t>A = Adjusted</t>
        </is>
      </c>
      <c r="H2" s="22" t="inlineStr">
        <is>
          <t>A = Adjusted</t>
        </is>
      </c>
      <c r="I2" s="22" t="inlineStr">
        <is>
          <t>A = Adjusted</t>
        </is>
      </c>
      <c r="J2" s="22" t="inlineStr">
        <is>
          <t>A = Adjusted</t>
        </is>
      </c>
      <c r="K2" s="22" t="inlineStr">
        <is>
          <t>A = Adjusted</t>
        </is>
      </c>
      <c r="L2" s="22" t="inlineStr">
        <is>
          <t>A = Adjusted</t>
        </is>
      </c>
      <c r="M2" s="22" t="inlineStr">
        <is>
          <t>A = Adjusted</t>
        </is>
      </c>
      <c r="N2" s="22" t="inlineStr">
        <is>
          <t>A = Adjusted</t>
        </is>
      </c>
      <c r="O2" s="22" t="inlineStr">
        <is>
          <t>A = Adjusted</t>
        </is>
      </c>
      <c r="P2" s="22" t="inlineStr">
        <is>
          <t>A = Adjusted</t>
        </is>
      </c>
      <c r="Q2" s="22" t="inlineStr">
        <is>
          <t>A = Adjusted</t>
        </is>
      </c>
      <c r="R2" s="22" t="inlineStr">
        <is>
          <t>A = Adjusted</t>
        </is>
      </c>
      <c r="S2" s="22" t="inlineStr">
        <is>
          <t>A = Adjusted</t>
        </is>
      </c>
      <c r="T2" s="22" t="inlineStr">
        <is>
          <t>A = Adjusted</t>
        </is>
      </c>
      <c r="U2" s="22" t="inlineStr">
        <is>
          <t>A = Adjusted</t>
        </is>
      </c>
      <c r="V2" s="22" t="inlineStr">
        <is>
          <t>A = Adjusted</t>
        </is>
      </c>
      <c r="W2" s="22" t="inlineStr">
        <is>
          <t>example</t>
        </is>
      </c>
      <c r="X2" s="22" t="inlineStr">
        <is>
          <t>example</t>
        </is>
      </c>
      <c r="Y2" s="22" t="inlineStr">
        <is>
          <t>example</t>
        </is>
      </c>
    </row>
    <row r="3">
      <c r="A3" s="23" t="inlineStr">
        <is>
          <t>S01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</row>
    <row r="4">
      <c r="A4" s="23" t="inlineStr">
        <is>
          <t>S02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</row>
    <row r="5">
      <c r="A5" s="23" t="inlineStr">
        <is>
          <t>S03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</row>
    <row r="6">
      <c r="A6" s="23" t="inlineStr">
        <is>
          <t>S04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</row>
    <row r="7">
      <c r="A7" s="23" t="inlineStr">
        <is>
          <t>S05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</row>
    <row r="8">
      <c r="A8" s="23" t="inlineStr">
        <is>
          <t>S06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</row>
    <row r="9">
      <c r="A9" s="23" t="inlineStr">
        <is>
          <t>S07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</row>
    <row r="10">
      <c r="A10" s="23" t="inlineStr">
        <is>
          <t>S08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</row>
    <row r="11">
      <c r="A11" s="23" t="inlineStr">
        <is>
          <t>S09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</row>
    <row r="12">
      <c r="A12" s="23" t="inlineStr">
        <is>
          <t>S10</t>
        </is>
      </c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</row>
    <row r="13">
      <c r="A13" s="23" t="inlineStr">
        <is>
          <t>S11</t>
        </is>
      </c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</row>
    <row r="14">
      <c r="A14" s="23" t="inlineStr">
        <is>
          <t>S12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</row>
    <row r="15">
      <c r="A15" s="23" t="inlineStr">
        <is>
          <t>S13</t>
        </is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</row>
    <row r="16">
      <c r="A16" s="23" t="inlineStr">
        <is>
          <t>S14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</row>
    <row r="17">
      <c r="A17" s="23" t="inlineStr">
        <is>
          <t>S15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23" t="inlineStr">
        <is>
          <t>S16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23" t="inlineStr">
        <is>
          <t>S17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23" t="inlineStr">
        <is>
          <t>S18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23" t="inlineStr">
        <is>
          <t>S19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23" t="inlineStr">
        <is>
          <t>S20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23" t="inlineStr">
        <is>
          <t>S21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23" t="inlineStr">
        <is>
          <t>S22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23" t="inlineStr">
        <is>
          <t>S23</t>
        </is>
      </c>
    </row>
    <row r="26">
      <c r="A26" s="23" t="inlineStr">
        <is>
          <t>S24</t>
        </is>
      </c>
    </row>
    <row r="27">
      <c r="A27" s="23" t="inlineStr">
        <is>
          <t>S25</t>
        </is>
      </c>
    </row>
    <row r="28">
      <c r="A28" s="23" t="inlineStr">
        <is>
          <t>S26</t>
        </is>
      </c>
    </row>
    <row r="29">
      <c r="A29" s="23" t="inlineStr">
        <is>
          <t>S27</t>
        </is>
      </c>
    </row>
    <row r="30">
      <c r="A30" s="23" t="inlineStr">
        <is>
          <t>S28</t>
        </is>
      </c>
    </row>
    <row r="31">
      <c r="A31" s="23" t="inlineStr">
        <is>
          <t>S29</t>
        </is>
      </c>
    </row>
    <row r="32">
      <c r="A32" s="23" t="inlineStr">
        <is>
          <t>S30</t>
        </is>
      </c>
    </row>
    <row r="33">
      <c r="A33" s="23" t="inlineStr">
        <is>
          <t>S31</t>
        </is>
      </c>
    </row>
    <row r="34">
      <c r="A34" s="23" t="inlineStr">
        <is>
          <t>S32</t>
        </is>
      </c>
    </row>
    <row r="35">
      <c r="A35" s="23" t="inlineStr">
        <is>
          <t>S33</t>
        </is>
      </c>
    </row>
    <row r="36">
      <c r="A36" s="23" t="inlineStr">
        <is>
          <t>S34</t>
        </is>
      </c>
    </row>
    <row r="37">
      <c r="A37" s="23" t="inlineStr">
        <is>
          <t>S35</t>
        </is>
      </c>
    </row>
    <row r="38">
      <c r="A38" s="23" t="inlineStr">
        <is>
          <t>S36</t>
        </is>
      </c>
    </row>
    <row r="39">
      <c r="A39" s="23" t="inlineStr">
        <is>
          <t>S37</t>
        </is>
      </c>
    </row>
    <row r="40">
      <c r="A40" s="23" t="inlineStr">
        <is>
          <t>S38</t>
        </is>
      </c>
    </row>
    <row r="41">
      <c r="A41" s="23" t="inlineStr">
        <is>
          <t>S39</t>
        </is>
      </c>
    </row>
    <row r="42">
      <c r="A42" s="23" t="inlineStr">
        <is>
          <t>S40</t>
        </is>
      </c>
    </row>
    <row r="43">
      <c r="A43" s="23" t="inlineStr">
        <is>
          <t>S41</t>
        </is>
      </c>
    </row>
    <row r="44">
      <c r="A44" s="23" t="inlineStr">
        <is>
          <t>S42</t>
        </is>
      </c>
    </row>
    <row r="45">
      <c r="A45" s="23" t="inlineStr">
        <is>
          <t>S43</t>
        </is>
      </c>
    </row>
    <row r="46">
      <c r="A46" s="23" t="inlineStr">
        <is>
          <t>S44</t>
        </is>
      </c>
    </row>
    <row r="47">
      <c r="A47" s="23" t="inlineStr">
        <is>
          <t>S45</t>
        </is>
      </c>
    </row>
    <row r="48">
      <c r="A48" s="23" t="inlineStr">
        <is>
          <t>S46</t>
        </is>
      </c>
    </row>
    <row r="49">
      <c r="A49" s="23" t="inlineStr">
        <is>
          <t>S47</t>
        </is>
      </c>
    </row>
    <row r="50">
      <c r="A50" s="23" t="inlineStr">
        <is>
          <t>S48</t>
        </is>
      </c>
    </row>
    <row r="51">
      <c r="A51" s="23" t="inlineStr">
        <is>
          <t>S49</t>
        </is>
      </c>
    </row>
    <row r="52">
      <c r="A52" s="23" t="inlineStr">
        <is>
          <t>S50</t>
        </is>
      </c>
    </row>
    <row r="53">
      <c r="A53" s="23" t="inlineStr">
        <is>
          <t>S51</t>
        </is>
      </c>
    </row>
    <row r="54">
      <c r="A54" s="23" t="inlineStr">
        <is>
          <t>S52</t>
        </is>
      </c>
    </row>
    <row r="55">
      <c r="A55" s="23" t="inlineStr">
        <is>
          <t>S53</t>
        </is>
      </c>
    </row>
    <row r="56">
      <c r="A56" s="23" t="inlineStr">
        <is>
          <t>S54</t>
        </is>
      </c>
    </row>
    <row r="57">
      <c r="A57" s="23" t="inlineStr">
        <is>
          <t>S55</t>
        </is>
      </c>
    </row>
    <row r="58">
      <c r="A58" s="23" t="inlineStr">
        <is>
          <t>S56</t>
        </is>
      </c>
    </row>
    <row r="59">
      <c r="A59" s="23" t="inlineStr">
        <is>
          <t>S57</t>
        </is>
      </c>
    </row>
    <row r="60">
      <c r="A60" s="23" t="inlineStr">
        <is>
          <t>S58</t>
        </is>
      </c>
    </row>
    <row r="61">
      <c r="A61" s="23" t="inlineStr">
        <is>
          <t>S59</t>
        </is>
      </c>
    </row>
    <row r="62">
      <c r="A62" s="23" t="inlineStr">
        <is>
          <t>S60</t>
        </is>
      </c>
    </row>
    <row r="63">
      <c r="A63" s="23" t="inlineStr">
        <is>
          <t>S61</t>
        </is>
      </c>
    </row>
    <row r="64">
      <c r="A64" s="23" t="inlineStr">
        <is>
          <t>S62</t>
        </is>
      </c>
    </row>
    <row r="65">
      <c r="A65" s="23" t="inlineStr">
        <is>
          <t>S63</t>
        </is>
      </c>
    </row>
    <row r="66">
      <c r="A66" s="23" t="inlineStr">
        <is>
          <t>S64</t>
        </is>
      </c>
    </row>
    <row r="67">
      <c r="A67" s="23" t="inlineStr">
        <is>
          <t>S65</t>
        </is>
      </c>
    </row>
  </sheetData>
  <dataValidations count="21">
    <dataValidation sqref="B3:B26" showDropDown="0" showInputMessage="0" showErrorMessage="0" allowBlank="1" type="list">
      <formula1>Lookups!$N$3:$N$7</formula1>
    </dataValidation>
    <dataValidation sqref="C3:C26" showDropDown="0" showInputMessage="0" showErrorMessage="0" allowBlank="1" type="list">
      <formula1>Lookups!$N$3:$N$7</formula1>
    </dataValidation>
    <dataValidation sqref="D3:D26" showDropDown="0" showInputMessage="0" showErrorMessage="0" allowBlank="1" type="list">
      <formula1>Lookups!$N$3:$N$7</formula1>
    </dataValidation>
    <dataValidation sqref="E3:E26" showDropDown="0" showInputMessage="0" showErrorMessage="0" allowBlank="1" type="list">
      <formula1>Lookups!$N$3:$N$7</formula1>
    </dataValidation>
    <dataValidation sqref="F3:F26" showDropDown="0" showInputMessage="0" showErrorMessage="0" allowBlank="1" type="list">
      <formula1>Lookups!$N$3:$N$7</formula1>
    </dataValidation>
    <dataValidation sqref="G3:G26" showDropDown="0" showInputMessage="0" showErrorMessage="0" allowBlank="1" type="list">
      <formula1>Lookups!$N$3:$N$7</formula1>
    </dataValidation>
    <dataValidation sqref="H3:H26" showDropDown="0" showInputMessage="0" showErrorMessage="0" allowBlank="1" type="list">
      <formula1>Lookups!$N$3:$N$7</formula1>
    </dataValidation>
    <dataValidation sqref="I3:I26" showDropDown="0" showInputMessage="0" showErrorMessage="0" allowBlank="1" type="list">
      <formula1>Lookups!$N$3:$N$7</formula1>
    </dataValidation>
    <dataValidation sqref="J3:J26" showDropDown="0" showInputMessage="0" showErrorMessage="0" allowBlank="1" type="list">
      <formula1>Lookups!$N$3:$N$7</formula1>
    </dataValidation>
    <dataValidation sqref="K3:K26" showDropDown="0" showInputMessage="0" showErrorMessage="0" allowBlank="1" type="list">
      <formula1>Lookups!$N$3:$N$7</formula1>
    </dataValidation>
    <dataValidation sqref="L3:L26" showDropDown="0" showInputMessage="0" showErrorMessage="0" allowBlank="1" type="list">
      <formula1>Lookups!$N$3:$N$7</formula1>
    </dataValidation>
    <dataValidation sqref="M3:M26" showDropDown="0" showInputMessage="0" showErrorMessage="0" allowBlank="1" type="list">
      <formula1>Lookups!$N$3:$N$7</formula1>
    </dataValidation>
    <dataValidation sqref="N3:N26" showDropDown="0" showInputMessage="0" showErrorMessage="0" allowBlank="1" type="list">
      <formula1>Lookups!$N$3:$N$7</formula1>
    </dataValidation>
    <dataValidation sqref="O3:O26" showDropDown="0" showInputMessage="0" showErrorMessage="0" allowBlank="1" type="list">
      <formula1>Lookups!$N$3:$N$7</formula1>
    </dataValidation>
    <dataValidation sqref="P3:P26" showDropDown="0" showInputMessage="0" showErrorMessage="0" allowBlank="1" type="list">
      <formula1>Lookups!$N$3:$N$7</formula1>
    </dataValidation>
    <dataValidation sqref="Q3:Q26" showDropDown="0" showInputMessage="0" showErrorMessage="0" allowBlank="1" type="list">
      <formula1>Lookups!$N$3:$N$7</formula1>
    </dataValidation>
    <dataValidation sqref="R3:R26" showDropDown="0" showInputMessage="0" showErrorMessage="0" allowBlank="1" type="list">
      <formula1>Lookups!$N$3:$N$7</formula1>
    </dataValidation>
    <dataValidation sqref="S3:S26" showDropDown="0" showInputMessage="0" showErrorMessage="0" allowBlank="1" type="list">
      <formula1>Lookups!$N$3:$N$7</formula1>
    </dataValidation>
    <dataValidation sqref="T3:T26" showDropDown="0" showInputMessage="0" showErrorMessage="0" allowBlank="1" type="list">
      <formula1>Lookups!$N$3:$N$7</formula1>
    </dataValidation>
    <dataValidation sqref="U3:U26" showDropDown="0" showInputMessage="0" showErrorMessage="0" allowBlank="1" type="list">
      <formula1>Lookups!$N$3:$N$7</formula1>
    </dataValidation>
    <dataValidation sqref="V3:V26" showDropDown="0" showInputMessage="0" showErrorMessage="0" allowBlank="1" type="list">
      <formula1>Lookups!$N$3:$N$7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2" customWidth="1" min="12" max="12"/>
    <col width="13" customWidth="1" min="13" max="13"/>
    <col width="12" customWidth="1" min="14" max="14"/>
    <col width="30" customWidth="1" min="15" max="15"/>
  </cols>
  <sheetData>
    <row r="1" ht="42" customHeight="1">
      <c r="A1" s="12" t="inlineStr">
        <is>
          <t>Study_ID</t>
        </is>
      </c>
      <c r="B1" s="12" t="inlineStr">
        <is>
          <t>Design</t>
        </is>
      </c>
      <c r="C1" s="12" t="inlineStr">
        <is>
          <t>S1_representativeness</t>
        </is>
      </c>
      <c r="D1" s="12" t="inlineStr">
        <is>
          <t>S2_selection_comparison_grp</t>
        </is>
      </c>
      <c r="E1" s="12" t="inlineStr">
        <is>
          <t>S3_ascertainment_exposure</t>
        </is>
      </c>
      <c r="F1" s="12" t="inlineStr">
        <is>
          <t>S4_outcome_not_present_at_start</t>
        </is>
      </c>
      <c r="G1" s="12" t="inlineStr">
        <is>
          <t>C1_comparability_age_mainconf</t>
        </is>
      </c>
      <c r="H1" s="12" t="inlineStr">
        <is>
          <t>C2_comparability_antibiotics_other</t>
        </is>
      </c>
      <c r="I1" s="12" t="inlineStr">
        <is>
          <t>O1_outcome_assessment</t>
        </is>
      </c>
      <c r="J1" s="12" t="inlineStr">
        <is>
          <t>O2_followup_adequate_length</t>
        </is>
      </c>
      <c r="K1" s="12" t="inlineStr">
        <is>
          <t>O3_followup_complete</t>
        </is>
      </c>
      <c r="L1" s="12" t="inlineStr">
        <is>
          <t>Total_stars (auto)</t>
        </is>
      </c>
      <c r="M1" s="12" t="inlineStr">
        <is>
          <t>RoB_level (auto)</t>
        </is>
      </c>
      <c r="N1" s="12" t="inlineStr">
        <is>
          <t>Reviewer</t>
        </is>
      </c>
      <c r="O1" s="12" t="inlineStr">
        <is>
          <t>Notes</t>
        </is>
      </c>
    </row>
    <row r="2">
      <c r="A2" s="23" t="inlineStr">
        <is>
          <t>S01</t>
        </is>
      </c>
      <c r="B2" s="23" t="inlineStr">
        <is>
          <t>Case-control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19">
        <f>SUMPRODUCT(IFERROR(VALUE(C2:K2),0))</f>
        <v/>
      </c>
      <c r="M2" s="19">
        <f>IF(L2="","",IF(L2&gt;=7,"Low",IF(L2&gt;=4,"Moderate","High")))</f>
        <v/>
      </c>
      <c r="N2" s="5" t="n"/>
      <c r="O2" s="5" t="n"/>
    </row>
    <row r="3">
      <c r="A3" s="23" t="inlineStr">
        <is>
          <t>S02</t>
        </is>
      </c>
      <c r="B3" s="23" t="inlineStr">
        <is>
          <t>Matched case-control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19">
        <f>SUMPRODUCT(IFERROR(VALUE(C3:K3),0))</f>
        <v/>
      </c>
      <c r="M3" s="19">
        <f>IF(L3="","",IF(L3&gt;=7,"Low",IF(L3&gt;=4,"Moderate","High")))</f>
        <v/>
      </c>
      <c r="N3" s="5" t="n"/>
      <c r="O3" s="5" t="n"/>
    </row>
    <row r="4">
      <c r="A4" s="23" t="inlineStr">
        <is>
          <t>S03</t>
        </is>
      </c>
      <c r="B4" s="23" t="inlineStr">
        <is>
          <t>Case-control</t>
        </is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19">
        <f>SUMPRODUCT(IFERROR(VALUE(C4:K4),0))</f>
        <v/>
      </c>
      <c r="M4" s="19">
        <f>IF(L4="","",IF(L4&gt;=7,"Low",IF(L4&gt;=4,"Moderate","High")))</f>
        <v/>
      </c>
      <c r="N4" s="5" t="n"/>
      <c r="O4" s="5" t="n"/>
    </row>
    <row r="5">
      <c r="A5" s="23" t="inlineStr">
        <is>
          <t>S04</t>
        </is>
      </c>
      <c r="B5" s="23" t="inlineStr">
        <is>
          <t>Retrospective cohort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19">
        <f>SUMPRODUCT(IFERROR(VALUE(C5:K5),0))</f>
        <v/>
      </c>
      <c r="M5" s="19">
        <f>IF(L5="","",IF(L5&gt;=7,"Low",IF(L5&gt;=4,"Moderate","High")))</f>
        <v/>
      </c>
      <c r="N5" s="5" t="n"/>
      <c r="O5" s="5" t="n"/>
    </row>
    <row r="6">
      <c r="A6" s="23" t="inlineStr">
        <is>
          <t>S05</t>
        </is>
      </c>
      <c r="B6" s="23" t="inlineStr">
        <is>
          <t>?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19">
        <f>SUMPRODUCT(IFERROR(VALUE(C6:K6),0))</f>
        <v/>
      </c>
      <c r="M6" s="19">
        <f>IF(L6="","",IF(L6&gt;=7,"Low",IF(L6&gt;=4,"Moderate","High")))</f>
        <v/>
      </c>
      <c r="N6" s="5" t="n"/>
      <c r="O6" s="5" t="n"/>
    </row>
    <row r="7">
      <c r="A7" s="23" t="inlineStr">
        <is>
          <t>S06</t>
        </is>
      </c>
      <c r="B7" s="23" t="inlineStr">
        <is>
          <t>Case-control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19">
        <f>SUMPRODUCT(IFERROR(VALUE(C7:K7),0))</f>
        <v/>
      </c>
      <c r="M7" s="19">
        <f>IF(L7="","",IF(L7&gt;=7,"Low",IF(L7&gt;=4,"Moderate","High")))</f>
        <v/>
      </c>
      <c r="N7" s="5" t="n"/>
      <c r="O7" s="5" t="n"/>
    </row>
    <row r="8">
      <c r="A8" s="23" t="inlineStr">
        <is>
          <t>S07</t>
        </is>
      </c>
      <c r="B8" s="23" t="inlineStr">
        <is>
          <t>Retrospective cohort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19">
        <f>SUMPRODUCT(IFERROR(VALUE(C8:K8),0))</f>
        <v/>
      </c>
      <c r="M8" s="19">
        <f>IF(L8="","",IF(L8&gt;=7,"Low",IF(L8&gt;=4,"Moderate","High")))</f>
        <v/>
      </c>
      <c r="N8" s="5" t="n"/>
      <c r="O8" s="5" t="n"/>
    </row>
    <row r="9">
      <c r="A9" s="23" t="inlineStr">
        <is>
          <t>S08</t>
        </is>
      </c>
      <c r="B9" s="23" t="inlineStr">
        <is>
          <t>Retrospective cohort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19">
        <f>SUMPRODUCT(IFERROR(VALUE(C9:K9),0))</f>
        <v/>
      </c>
      <c r="M9" s="19">
        <f>IF(L9="","",IF(L9&gt;=7,"Low",IF(L9&gt;=4,"Moderate","High")))</f>
        <v/>
      </c>
      <c r="N9" s="5" t="n"/>
      <c r="O9" s="5" t="n"/>
    </row>
    <row r="10">
      <c r="A10" s="23" t="inlineStr">
        <is>
          <t>S09</t>
        </is>
      </c>
      <c r="B10" s="23" t="inlineStr">
        <is>
          <t>Retrospective cohort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19">
        <f>SUMPRODUCT(IFERROR(VALUE(C10:K10),0))</f>
        <v/>
      </c>
      <c r="M10" s="19">
        <f>IF(L10="","",IF(L10&gt;=7,"Low",IF(L10&gt;=4,"Moderate","High")))</f>
        <v/>
      </c>
      <c r="N10" s="5" t="n"/>
      <c r="O10" s="5" t="n"/>
    </row>
    <row r="11">
      <c r="A11" s="23" t="inlineStr">
        <is>
          <t>S10</t>
        </is>
      </c>
      <c r="B11" s="23" t="inlineStr">
        <is>
          <t>Retrospective cohort</t>
        </is>
      </c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19">
        <f>SUMPRODUCT(IFERROR(VALUE(C11:K11),0))</f>
        <v/>
      </c>
      <c r="M11" s="19">
        <f>IF(L11="","",IF(L11&gt;=7,"Low",IF(L11&gt;=4,"Moderate","High")))</f>
        <v/>
      </c>
      <c r="N11" s="5" t="n"/>
      <c r="O11" s="5" t="n"/>
    </row>
    <row r="12">
      <c r="A12" s="23" t="inlineStr">
        <is>
          <t>S11</t>
        </is>
      </c>
      <c r="B12" s="23" t="inlineStr">
        <is>
          <t>Retrospective cohort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19">
        <f>SUMPRODUCT(IFERROR(VALUE(C12:K12),0))</f>
        <v/>
      </c>
      <c r="M12" s="19">
        <f>IF(L12="","",IF(L12&gt;=7,"Low",IF(L12&gt;=4,"Moderate","High")))</f>
        <v/>
      </c>
      <c r="N12" s="5" t="n"/>
      <c r="O12" s="5" t="n"/>
    </row>
    <row r="13">
      <c r="A13" s="23" t="inlineStr">
        <is>
          <t>S12</t>
        </is>
      </c>
      <c r="B13" s="23" t="inlineStr">
        <is>
          <t>Cross-sectional</t>
        </is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19">
        <f>SUMPRODUCT(IFERROR(VALUE(C13:K13),0))</f>
        <v/>
      </c>
      <c r="M13" s="19">
        <f>IF(L13="","",IF(L13&gt;=7,"Low",IF(L13&gt;=4,"Moderate","High")))</f>
        <v/>
      </c>
      <c r="N13" s="5" t="n"/>
      <c r="O13" s="5" t="n"/>
    </row>
    <row r="14">
      <c r="A14" s="23" t="inlineStr">
        <is>
          <t>S13</t>
        </is>
      </c>
      <c r="B14" s="23" t="inlineStr">
        <is>
          <t>Retrospective cohort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19">
        <f>SUMPRODUCT(IFERROR(VALUE(C14:K14),0))</f>
        <v/>
      </c>
      <c r="M14" s="19">
        <f>IF(L14="","",IF(L14&gt;=7,"Low",IF(L14&gt;=4,"Moderate","High")))</f>
        <v/>
      </c>
      <c r="N14" s="5" t="n"/>
      <c r="O14" s="5" t="n"/>
    </row>
    <row r="15">
      <c r="A15" s="23" t="inlineStr">
        <is>
          <t>S14</t>
        </is>
      </c>
      <c r="B15" s="23" t="inlineStr">
        <is>
          <t>Case-control</t>
        </is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19">
        <f>SUMPRODUCT(IFERROR(VALUE(C15:K15),0))</f>
        <v/>
      </c>
      <c r="M15" s="19">
        <f>IF(L15="","",IF(L15&gt;=7,"Low",IF(L15&gt;=4,"Moderate","High")))</f>
        <v/>
      </c>
      <c r="N15" s="5" t="n"/>
      <c r="O15" s="5" t="n"/>
    </row>
    <row r="16">
      <c r="A16" s="23" t="inlineStr">
        <is>
          <t>S15</t>
        </is>
      </c>
      <c r="B16" s="23" t="inlineStr">
        <is>
          <t>Case-control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19">
        <f>SUMPRODUCT(IFERROR(VALUE(C16:K16),0))</f>
        <v/>
      </c>
      <c r="M16" s="19">
        <f>IF(L16="","",IF(L16&gt;=7,"Low",IF(L16&gt;=4,"Moderate","High")))</f>
        <v/>
      </c>
      <c r="N16" s="5" t="n"/>
      <c r="O16" s="5" t="n"/>
    </row>
    <row r="17">
      <c r="A17" s="23" t="inlineStr">
        <is>
          <t>S16</t>
        </is>
      </c>
      <c r="B17" s="23" t="inlineStr">
        <is>
          <t>Case-control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19">
        <f>SUMPRODUCT(IFERROR(VALUE(C17:K17),0))</f>
        <v/>
      </c>
      <c r="M17" s="19">
        <f>IF(L17="","",IF(L17&gt;=7,"Low",IF(L17&gt;=4,"Moderate","High")))</f>
        <v/>
      </c>
      <c r="N17" s="5" t="n"/>
      <c r="O17" s="5" t="n"/>
    </row>
    <row r="18">
      <c r="A18" s="23" t="inlineStr">
        <is>
          <t>S17</t>
        </is>
      </c>
      <c r="B18" s="23" t="inlineStr">
        <is>
          <t>Case-control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19">
        <f>SUMPRODUCT(IFERROR(VALUE(C18:K18),0))</f>
        <v/>
      </c>
      <c r="M18" s="19">
        <f>IF(L18="","",IF(L18&gt;=7,"Low",IF(L18&gt;=4,"Moderate","High")))</f>
        <v/>
      </c>
      <c r="N18" s="5" t="n"/>
      <c r="O18" s="5" t="n"/>
    </row>
    <row r="19">
      <c r="A19" s="23" t="inlineStr">
        <is>
          <t>S18</t>
        </is>
      </c>
      <c r="B19" s="23" t="inlineStr">
        <is>
          <t>Nested case-control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19">
        <f>SUMPRODUCT(IFERROR(VALUE(C19:K19),0))</f>
        <v/>
      </c>
      <c r="M19" s="19">
        <f>IF(L19="","",IF(L19&gt;=7,"Low",IF(L19&gt;=4,"Moderate","High")))</f>
        <v/>
      </c>
      <c r="N19" s="5" t="n"/>
      <c r="O19" s="5" t="n"/>
    </row>
    <row r="20">
      <c r="A20" s="23" t="inlineStr">
        <is>
          <t>S19</t>
        </is>
      </c>
      <c r="B20" s="23" t="inlineStr">
        <is>
          <t>Retrospective cohort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19">
        <f>SUMPRODUCT(IFERROR(VALUE(C20:K20),0))</f>
        <v/>
      </c>
      <c r="M20" s="19">
        <f>IF(L20="","",IF(L20&gt;=7,"Low",IF(L20&gt;=4,"Moderate","High")))</f>
        <v/>
      </c>
      <c r="N20" s="5" t="n"/>
      <c r="O20" s="5" t="n"/>
    </row>
    <row r="21">
      <c r="A21" s="23" t="inlineStr">
        <is>
          <t>S20</t>
        </is>
      </c>
      <c r="B21" s="23" t="inlineStr">
        <is>
          <t>?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19">
        <f>SUMPRODUCT(IFERROR(VALUE(C21:K21),0))</f>
        <v/>
      </c>
      <c r="M21" s="19">
        <f>IF(L21="","",IF(L21&gt;=7,"Low",IF(L21&gt;=4,"Moderate","High")))</f>
        <v/>
      </c>
      <c r="N21" s="5" t="n"/>
      <c r="O21" s="5" t="n"/>
    </row>
    <row r="22">
      <c r="A22" s="23" t="inlineStr">
        <is>
          <t>S21</t>
        </is>
      </c>
      <c r="B22" s="23" t="inlineStr">
        <is>
          <t>Retrospective cohort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19">
        <f>SUMPRODUCT(IFERROR(VALUE(C22:K22),0))</f>
        <v/>
      </c>
      <c r="M22" s="19">
        <f>IF(L22="","",IF(L22&gt;=7,"Low",IF(L22&gt;=4,"Moderate","High")))</f>
        <v/>
      </c>
      <c r="N22" s="5" t="n"/>
      <c r="O22" s="5" t="n"/>
    </row>
    <row r="23">
      <c r="A23" s="23" t="inlineStr">
        <is>
          <t>S22</t>
        </is>
      </c>
      <c r="B23" s="23" t="inlineStr">
        <is>
          <t>Retrospective cohort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19">
        <f>SUMPRODUCT(IFERROR(VALUE(C23:K23),0))</f>
        <v/>
      </c>
      <c r="M23" s="19">
        <f>IF(L23="","",IF(L23&gt;=7,"Low",IF(L23&gt;=4,"Moderate","High")))</f>
        <v/>
      </c>
      <c r="N23" s="5" t="n"/>
      <c r="O23" s="5" t="n"/>
    </row>
    <row r="24">
      <c r="A24" s="23" t="inlineStr">
        <is>
          <t>S23</t>
        </is>
      </c>
      <c r="B24" s="23" t="inlineStr">
        <is>
          <t>Case-control</t>
        </is>
      </c>
      <c r="L24" s="19">
        <f>SUMPRODUCT(IFERROR(VALUE(C24:K24),0))</f>
        <v/>
      </c>
      <c r="M24" s="19">
        <f>IF(L24="","",IF(L24&gt;=7,"Low",IF(L24&gt;=4,"Moderate","High")))</f>
        <v/>
      </c>
    </row>
    <row r="25">
      <c r="A25" s="23" t="inlineStr">
        <is>
          <t>S24</t>
        </is>
      </c>
      <c r="B25" s="23" t="inlineStr">
        <is>
          <t>Retrospective cohort</t>
        </is>
      </c>
      <c r="L25" s="19">
        <f>SUMPRODUCT(IFERROR(VALUE(C25:K25),0))</f>
        <v/>
      </c>
      <c r="M25" s="19">
        <f>IF(L25="","",IF(L25&gt;=7,"Low",IF(L25&gt;=4,"Moderate","High")))</f>
        <v/>
      </c>
    </row>
    <row r="26">
      <c r="A26" s="23" t="inlineStr">
        <is>
          <t>S25</t>
        </is>
      </c>
      <c r="B26" s="23" t="inlineStr">
        <is>
          <t>Case-control</t>
        </is>
      </c>
      <c r="L26" s="19">
        <f>SUMPRODUCT(IFERROR(VALUE(C26:K26),0))</f>
        <v/>
      </c>
      <c r="M26" s="19">
        <f>IF(L26="","",IF(L26&gt;=7,"Low",IF(L26&gt;=4,"Moderate","High")))</f>
        <v/>
      </c>
    </row>
    <row r="27">
      <c r="A27" s="23" t="inlineStr">
        <is>
          <t>S26</t>
        </is>
      </c>
      <c r="B27" s="23" t="inlineStr">
        <is>
          <t>Retrospective cohort</t>
        </is>
      </c>
      <c r="L27" s="19">
        <f>SUMPRODUCT(IFERROR(VALUE(C27:K27),0))</f>
        <v/>
      </c>
      <c r="M27" s="19">
        <f>IF(L27="","",IF(L27&gt;=7,"Low",IF(L27&gt;=4,"Moderate","High")))</f>
        <v/>
      </c>
    </row>
    <row r="28">
      <c r="A28" s="23" t="inlineStr">
        <is>
          <t>S27</t>
        </is>
      </c>
      <c r="B28" s="23" t="inlineStr">
        <is>
          <t>Retrospective cohort</t>
        </is>
      </c>
      <c r="L28" s="19">
        <f>SUMPRODUCT(IFERROR(VALUE(C28:K28),0))</f>
        <v/>
      </c>
      <c r="M28" s="19">
        <f>IF(L28="","",IF(L28&gt;=7,"Low",IF(L28&gt;=4,"Moderate","High")))</f>
        <v/>
      </c>
    </row>
    <row r="29">
      <c r="A29" s="23" t="inlineStr">
        <is>
          <t>S28</t>
        </is>
      </c>
      <c r="B29" s="23" t="inlineStr">
        <is>
          <t>Retrospective cohort</t>
        </is>
      </c>
      <c r="L29" s="19">
        <f>SUMPRODUCT(IFERROR(VALUE(C29:K29),0))</f>
        <v/>
      </c>
      <c r="M29" s="19">
        <f>IF(L29="","",IF(L29&gt;=7,"Low",IF(L29&gt;=4,"Moderate","High")))</f>
        <v/>
      </c>
    </row>
    <row r="30">
      <c r="A30" s="23" t="inlineStr">
        <is>
          <t>S29</t>
        </is>
      </c>
      <c r="B30" s="23" t="inlineStr">
        <is>
          <t>?</t>
        </is>
      </c>
      <c r="L30" s="19">
        <f>SUMPRODUCT(IFERROR(VALUE(C30:K30),0))</f>
        <v/>
      </c>
      <c r="M30" s="19">
        <f>IF(L30="","",IF(L30&gt;=7,"Low",IF(L30&gt;=4,"Moderate","High")))</f>
        <v/>
      </c>
    </row>
    <row r="31">
      <c r="A31" s="23" t="inlineStr">
        <is>
          <t>S30</t>
        </is>
      </c>
      <c r="B31" s="23" t="inlineStr">
        <is>
          <t>Nested case-control</t>
        </is>
      </c>
      <c r="L31" s="19">
        <f>SUMPRODUCT(IFERROR(VALUE(C31:K31),0))</f>
        <v/>
      </c>
      <c r="M31" s="19">
        <f>IF(L31="","",IF(L31&gt;=7,"Low",IF(L31&gt;=4,"Moderate","High")))</f>
        <v/>
      </c>
    </row>
    <row r="32">
      <c r="A32" s="23" t="inlineStr">
        <is>
          <t>S31</t>
        </is>
      </c>
      <c r="B32" s="23" t="inlineStr">
        <is>
          <t>Retrospective cohort</t>
        </is>
      </c>
      <c r="L32" s="19">
        <f>SUMPRODUCT(IFERROR(VALUE(C32:K32),0))</f>
        <v/>
      </c>
      <c r="M32" s="19">
        <f>IF(L32="","",IF(L32&gt;=7,"Low",IF(L32&gt;=4,"Moderate","High")))</f>
        <v/>
      </c>
    </row>
    <row r="33">
      <c r="A33" s="23" t="inlineStr">
        <is>
          <t>S32</t>
        </is>
      </c>
      <c r="B33" s="23" t="inlineStr">
        <is>
          <t>Nested case-control</t>
        </is>
      </c>
      <c r="L33" s="19">
        <f>SUMPRODUCT(IFERROR(VALUE(C33:K33),0))</f>
        <v/>
      </c>
      <c r="M33" s="19">
        <f>IF(L33="","",IF(L33&gt;=7,"Low",IF(L33&gt;=4,"Moderate","High")))</f>
        <v/>
      </c>
    </row>
    <row r="34">
      <c r="A34" s="23" t="inlineStr">
        <is>
          <t>S33</t>
        </is>
      </c>
      <c r="B34" s="23" t="inlineStr">
        <is>
          <t>Retrospective cohort</t>
        </is>
      </c>
      <c r="L34" s="19">
        <f>SUMPRODUCT(IFERROR(VALUE(C34:K34),0))</f>
        <v/>
      </c>
      <c r="M34" s="19">
        <f>IF(L34="","",IF(L34&gt;=7,"Low",IF(L34&gt;=4,"Moderate","High")))</f>
        <v/>
      </c>
    </row>
    <row r="35">
      <c r="A35" s="23" t="inlineStr">
        <is>
          <t>S34</t>
        </is>
      </c>
      <c r="B35" s="23" t="inlineStr">
        <is>
          <t>Retrospective cohort</t>
        </is>
      </c>
      <c r="L35" s="19">
        <f>SUMPRODUCT(IFERROR(VALUE(C35:K35),0))</f>
        <v/>
      </c>
      <c r="M35" s="19">
        <f>IF(L35="","",IF(L35&gt;=7,"Low",IF(L35&gt;=4,"Moderate","High")))</f>
        <v/>
      </c>
    </row>
    <row r="36">
      <c r="A36" s="23" t="inlineStr">
        <is>
          <t>S35</t>
        </is>
      </c>
      <c r="B36" s="23" t="inlineStr">
        <is>
          <t>Nested case-control</t>
        </is>
      </c>
      <c r="L36" s="19">
        <f>SUMPRODUCT(IFERROR(VALUE(C36:K36),0))</f>
        <v/>
      </c>
      <c r="M36" s="19">
        <f>IF(L36="","",IF(L36&gt;=7,"Low",IF(L36&gt;=4,"Moderate","High")))</f>
        <v/>
      </c>
    </row>
    <row r="37">
      <c r="A37" s="23" t="inlineStr">
        <is>
          <t>S36</t>
        </is>
      </c>
      <c r="B37" s="23" t="inlineStr">
        <is>
          <t>Case-control</t>
        </is>
      </c>
      <c r="L37" s="19">
        <f>SUMPRODUCT(IFERROR(VALUE(C37:K37),0))</f>
        <v/>
      </c>
      <c r="M37" s="19">
        <f>IF(L37="","",IF(L37&gt;=7,"Low",IF(L37&gt;=4,"Moderate","High")))</f>
        <v/>
      </c>
    </row>
    <row r="38">
      <c r="A38" s="23" t="inlineStr">
        <is>
          <t>S37</t>
        </is>
      </c>
      <c r="B38" s="23" t="inlineStr">
        <is>
          <t>Retrospective cohort</t>
        </is>
      </c>
      <c r="L38" s="19">
        <f>SUMPRODUCT(IFERROR(VALUE(C38:K38),0))</f>
        <v/>
      </c>
      <c r="M38" s="19">
        <f>IF(L38="","",IF(L38&gt;=7,"Low",IF(L38&gt;=4,"Moderate","High")))</f>
        <v/>
      </c>
    </row>
    <row r="39">
      <c r="A39" s="23" t="inlineStr">
        <is>
          <t>S38</t>
        </is>
      </c>
      <c r="B39" s="23" t="inlineStr">
        <is>
          <t>Case-control</t>
        </is>
      </c>
      <c r="L39" s="19">
        <f>SUMPRODUCT(IFERROR(VALUE(C39:K39),0))</f>
        <v/>
      </c>
      <c r="M39" s="19">
        <f>IF(L39="","",IF(L39&gt;=7,"Low",IF(L39&gt;=4,"Moderate","High")))</f>
        <v/>
      </c>
    </row>
    <row r="40">
      <c r="A40" s="23" t="inlineStr">
        <is>
          <t>S39</t>
        </is>
      </c>
      <c r="B40" s="23" t="inlineStr">
        <is>
          <t>Retrospective cohort</t>
        </is>
      </c>
      <c r="L40" s="19">
        <f>SUMPRODUCT(IFERROR(VALUE(C40:K40),0))</f>
        <v/>
      </c>
      <c r="M40" s="19">
        <f>IF(L40="","",IF(L40&gt;=7,"Low",IF(L40&gt;=4,"Moderate","High")))</f>
        <v/>
      </c>
    </row>
    <row r="41">
      <c r="A41" s="23" t="inlineStr">
        <is>
          <t>S40</t>
        </is>
      </c>
      <c r="B41" s="23" t="inlineStr">
        <is>
          <t>Retrospective cohort</t>
        </is>
      </c>
      <c r="L41" s="19">
        <f>SUMPRODUCT(IFERROR(VALUE(C41:K41),0))</f>
        <v/>
      </c>
      <c r="M41" s="19">
        <f>IF(L41="","",IF(L41&gt;=7,"Low",IF(L41&gt;=4,"Moderate","High")))</f>
        <v/>
      </c>
    </row>
    <row r="42">
      <c r="A42" s="23" t="inlineStr">
        <is>
          <t>S41</t>
        </is>
      </c>
      <c r="B42" s="23" t="inlineStr">
        <is>
          <t>Retrospective cohort</t>
        </is>
      </c>
      <c r="L42" s="19">
        <f>SUMPRODUCT(IFERROR(VALUE(C42:K42),0))</f>
        <v/>
      </c>
      <c r="M42" s="19">
        <f>IF(L42="","",IF(L42&gt;=7,"Low",IF(L42&gt;=4,"Moderate","High")))</f>
        <v/>
      </c>
    </row>
    <row r="43">
      <c r="A43" s="23" t="inlineStr">
        <is>
          <t>S42</t>
        </is>
      </c>
      <c r="B43" s="23" t="inlineStr">
        <is>
          <t>Case-control</t>
        </is>
      </c>
      <c r="L43" s="19">
        <f>SUMPRODUCT(IFERROR(VALUE(C43:K43),0))</f>
        <v/>
      </c>
      <c r="M43" s="19">
        <f>IF(L43="","",IF(L43&gt;=7,"Low",IF(L43&gt;=4,"Moderate","High")))</f>
        <v/>
      </c>
    </row>
    <row r="44">
      <c r="A44" s="23" t="inlineStr">
        <is>
          <t>S43</t>
        </is>
      </c>
      <c r="B44" s="23" t="inlineStr">
        <is>
          <t>Retrospective cohort</t>
        </is>
      </c>
      <c r="L44" s="19">
        <f>SUMPRODUCT(IFERROR(VALUE(C44:K44),0))</f>
        <v/>
      </c>
      <c r="M44" s="19">
        <f>IF(L44="","",IF(L44&gt;=7,"Low",IF(L44&gt;=4,"Moderate","High")))</f>
        <v/>
      </c>
    </row>
    <row r="45">
      <c r="A45" s="23" t="inlineStr">
        <is>
          <t>S44</t>
        </is>
      </c>
      <c r="B45" s="23" t="inlineStr">
        <is>
          <t>Retrospective cohort</t>
        </is>
      </c>
      <c r="L45" s="19">
        <f>SUMPRODUCT(IFERROR(VALUE(C45:K45),0))</f>
        <v/>
      </c>
      <c r="M45" s="19">
        <f>IF(L45="","",IF(L45&gt;=7,"Low",IF(L45&gt;=4,"Moderate","High")))</f>
        <v/>
      </c>
    </row>
    <row r="46">
      <c r="A46" s="23" t="inlineStr">
        <is>
          <t>S45</t>
        </is>
      </c>
      <c r="B46" s="23" t="inlineStr">
        <is>
          <t>Nested case-control</t>
        </is>
      </c>
      <c r="L46" s="19">
        <f>SUMPRODUCT(IFERROR(VALUE(C46:K46),0))</f>
        <v/>
      </c>
      <c r="M46" s="19">
        <f>IF(L46="","",IF(L46&gt;=7,"Low",IF(L46&gt;=4,"Moderate","High")))</f>
        <v/>
      </c>
    </row>
    <row r="47">
      <c r="A47" s="23" t="inlineStr">
        <is>
          <t>S46</t>
        </is>
      </c>
      <c r="B47" s="23" t="inlineStr">
        <is>
          <t>Case-control</t>
        </is>
      </c>
      <c r="L47" s="19">
        <f>SUMPRODUCT(IFERROR(VALUE(C47:K47),0))</f>
        <v/>
      </c>
      <c r="M47" s="19">
        <f>IF(L47="","",IF(L47&gt;=7,"Low",IF(L47&gt;=4,"Moderate","High")))</f>
        <v/>
      </c>
    </row>
    <row r="48">
      <c r="A48" s="23" t="inlineStr">
        <is>
          <t>S47</t>
        </is>
      </c>
      <c r="B48" s="23" t="inlineStr">
        <is>
          <t>Retrospective cohort</t>
        </is>
      </c>
      <c r="L48" s="19">
        <f>SUMPRODUCT(IFERROR(VALUE(C48:K48),0))</f>
        <v/>
      </c>
      <c r="M48" s="19">
        <f>IF(L48="","",IF(L48&gt;=7,"Low",IF(L48&gt;=4,"Moderate","High")))</f>
        <v/>
      </c>
    </row>
    <row r="49">
      <c r="A49" s="23" t="inlineStr">
        <is>
          <t>S48</t>
        </is>
      </c>
      <c r="B49" s="23" t="inlineStr">
        <is>
          <t>Retrospective cohort</t>
        </is>
      </c>
      <c r="L49" s="19">
        <f>SUMPRODUCT(IFERROR(VALUE(C49:K49),0))</f>
        <v/>
      </c>
      <c r="M49" s="19">
        <f>IF(L49="","",IF(L49&gt;=7,"Low",IF(L49&gt;=4,"Moderate","High")))</f>
        <v/>
      </c>
    </row>
    <row r="50">
      <c r="A50" s="23" t="inlineStr">
        <is>
          <t>S49</t>
        </is>
      </c>
      <c r="B50" s="23" t="inlineStr">
        <is>
          <t>Case-control</t>
        </is>
      </c>
      <c r="L50" s="19">
        <f>SUMPRODUCT(IFERROR(VALUE(C50:K50),0))</f>
        <v/>
      </c>
      <c r="M50" s="19">
        <f>IF(L50="","",IF(L50&gt;=7,"Low",IF(L50&gt;=4,"Moderate","High")))</f>
        <v/>
      </c>
    </row>
    <row r="51">
      <c r="A51" s="23" t="inlineStr">
        <is>
          <t>S50</t>
        </is>
      </c>
      <c r="B51" s="23" t="inlineStr">
        <is>
          <t>Matched case-control</t>
        </is>
      </c>
      <c r="L51" s="19">
        <f>SUMPRODUCT(IFERROR(VALUE(C51:K51),0))</f>
        <v/>
      </c>
      <c r="M51" s="19">
        <f>IF(L51="","",IF(L51&gt;=7,"Low",IF(L51&gt;=4,"Moderate","High")))</f>
        <v/>
      </c>
    </row>
    <row r="52">
      <c r="A52" s="23" t="inlineStr">
        <is>
          <t>S51</t>
        </is>
      </c>
      <c r="B52" s="23" t="inlineStr">
        <is>
          <t>Retrospective cohort</t>
        </is>
      </c>
      <c r="L52" s="19">
        <f>SUMPRODUCT(IFERROR(VALUE(C52:K52),0))</f>
        <v/>
      </c>
      <c r="M52" s="19">
        <f>IF(L52="","",IF(L52&gt;=7,"Low",IF(L52&gt;=4,"Moderate","High")))</f>
        <v/>
      </c>
    </row>
    <row r="53">
      <c r="A53" s="23" t="inlineStr">
        <is>
          <t>S52</t>
        </is>
      </c>
      <c r="B53" s="23" t="inlineStr">
        <is>
          <t>Pharmacovigilance</t>
        </is>
      </c>
      <c r="L53" s="19">
        <f>SUMPRODUCT(IFERROR(VALUE(C53:K53),0))</f>
        <v/>
      </c>
      <c r="M53" s="19">
        <f>IF(L53="","",IF(L53&gt;=7,"Low",IF(L53&gt;=4,"Moderate","High")))</f>
        <v/>
      </c>
    </row>
    <row r="54">
      <c r="A54" s="23" t="inlineStr">
        <is>
          <t>S53</t>
        </is>
      </c>
      <c r="B54" s="23" t="inlineStr">
        <is>
          <t>Case-control</t>
        </is>
      </c>
      <c r="L54" s="19">
        <f>SUMPRODUCT(IFERROR(VALUE(C54:K54),0))</f>
        <v/>
      </c>
      <c r="M54" s="19">
        <f>IF(L54="","",IF(L54&gt;=7,"Low",IF(L54&gt;=4,"Moderate","High")))</f>
        <v/>
      </c>
    </row>
    <row r="55">
      <c r="A55" s="23" t="inlineStr">
        <is>
          <t>S54</t>
        </is>
      </c>
      <c r="B55" s="23" t="inlineStr">
        <is>
          <t>Retrospective cohort</t>
        </is>
      </c>
      <c r="L55" s="19">
        <f>SUMPRODUCT(IFERROR(VALUE(C55:K55),0))</f>
        <v/>
      </c>
      <c r="M55" s="19">
        <f>IF(L55="","",IF(L55&gt;=7,"Low",IF(L55&gt;=4,"Moderate","High")))</f>
        <v/>
      </c>
    </row>
    <row r="56">
      <c r="A56" s="23" t="inlineStr">
        <is>
          <t>S55</t>
        </is>
      </c>
      <c r="B56" s="23" t="inlineStr">
        <is>
          <t>Case-control</t>
        </is>
      </c>
      <c r="L56" s="19">
        <f>SUMPRODUCT(IFERROR(VALUE(C56:K56),0))</f>
        <v/>
      </c>
      <c r="M56" s="19">
        <f>IF(L56="","",IF(L56&gt;=7,"Low",IF(L56&gt;=4,"Moderate","High")))</f>
        <v/>
      </c>
    </row>
    <row r="57">
      <c r="A57" s="23" t="inlineStr">
        <is>
          <t>S56</t>
        </is>
      </c>
      <c r="B57" s="23" t="inlineStr">
        <is>
          <t>Retrospective cohort</t>
        </is>
      </c>
      <c r="L57" s="19">
        <f>SUMPRODUCT(IFERROR(VALUE(C57:K57),0))</f>
        <v/>
      </c>
      <c r="M57" s="19">
        <f>IF(L57="","",IF(L57&gt;=7,"Low",IF(L57&gt;=4,"Moderate","High")))</f>
        <v/>
      </c>
    </row>
    <row r="58">
      <c r="A58" s="23" t="inlineStr">
        <is>
          <t>S57</t>
        </is>
      </c>
      <c r="B58" s="23" t="inlineStr">
        <is>
          <t>Case-control</t>
        </is>
      </c>
      <c r="L58" s="19">
        <f>SUMPRODUCT(IFERROR(VALUE(C58:K58),0))</f>
        <v/>
      </c>
      <c r="M58" s="19">
        <f>IF(L58="","",IF(L58&gt;=7,"Low",IF(L58&gt;=4,"Moderate","High")))</f>
        <v/>
      </c>
    </row>
    <row r="59">
      <c r="A59" s="23" t="inlineStr">
        <is>
          <t>S58</t>
        </is>
      </c>
      <c r="B59" s="23" t="inlineStr">
        <is>
          <t>Case-control</t>
        </is>
      </c>
      <c r="L59" s="19">
        <f>SUMPRODUCT(IFERROR(VALUE(C59:K59),0))</f>
        <v/>
      </c>
      <c r="M59" s="19">
        <f>IF(L59="","",IF(L59&gt;=7,"Low",IF(L59&gt;=4,"Moderate","High")))</f>
        <v/>
      </c>
    </row>
    <row r="60">
      <c r="A60" s="23" t="inlineStr">
        <is>
          <t>S59</t>
        </is>
      </c>
      <c r="B60" s="23" t="inlineStr">
        <is>
          <t>Retrospective cohort</t>
        </is>
      </c>
      <c r="L60" s="19">
        <f>SUMPRODUCT(IFERROR(VALUE(C60:K60),0))</f>
        <v/>
      </c>
      <c r="M60" s="19">
        <f>IF(L60="","",IF(L60&gt;=7,"Low",IF(L60&gt;=4,"Moderate","High")))</f>
        <v/>
      </c>
    </row>
    <row r="61">
      <c r="A61" s="23" t="inlineStr">
        <is>
          <t>S60</t>
        </is>
      </c>
      <c r="B61" s="23" t="inlineStr">
        <is>
          <t>Retrospective cohort</t>
        </is>
      </c>
      <c r="L61" s="19">
        <f>SUMPRODUCT(IFERROR(VALUE(C61:K61),0))</f>
        <v/>
      </c>
      <c r="M61" s="19">
        <f>IF(L61="","",IF(L61&gt;=7,"Low",IF(L61&gt;=4,"Moderate","High")))</f>
        <v/>
      </c>
    </row>
    <row r="62">
      <c r="A62" s="23" t="inlineStr">
        <is>
          <t>S61</t>
        </is>
      </c>
      <c r="B62" s="23" t="inlineStr">
        <is>
          <t>Retrospective cohort</t>
        </is>
      </c>
      <c r="L62" s="19">
        <f>SUMPRODUCT(IFERROR(VALUE(C62:K62),0))</f>
        <v/>
      </c>
      <c r="M62" s="19">
        <f>IF(L62="","",IF(L62&gt;=7,"Low",IF(L62&gt;=4,"Moderate","High")))</f>
        <v/>
      </c>
    </row>
    <row r="63">
      <c r="A63" s="23" t="inlineStr">
        <is>
          <t>S62</t>
        </is>
      </c>
      <c r="B63" s="23" t="inlineStr">
        <is>
          <t>Case-control</t>
        </is>
      </c>
      <c r="L63" s="19">
        <f>SUMPRODUCT(IFERROR(VALUE(C63:K63),0))</f>
        <v/>
      </c>
      <c r="M63" s="19">
        <f>IF(L63="","",IF(L63&gt;=7,"Low",IF(L63&gt;=4,"Moderate","High")))</f>
        <v/>
      </c>
    </row>
    <row r="64">
      <c r="A64" s="23" t="inlineStr">
        <is>
          <t>S63</t>
        </is>
      </c>
      <c r="B64" s="23" t="inlineStr">
        <is>
          <t>Retrospective cohort</t>
        </is>
      </c>
      <c r="L64" s="19">
        <f>SUMPRODUCT(IFERROR(VALUE(C64:K64),0))</f>
        <v/>
      </c>
      <c r="M64" s="19">
        <f>IF(L64="","",IF(L64&gt;=7,"Low",IF(L64&gt;=4,"Moderate","High")))</f>
        <v/>
      </c>
    </row>
    <row r="65">
      <c r="A65" s="23" t="inlineStr">
        <is>
          <t>S64</t>
        </is>
      </c>
      <c r="B65" s="23" t="inlineStr">
        <is>
          <t>Retrospective cohort</t>
        </is>
      </c>
      <c r="L65" s="19">
        <f>SUMPRODUCT(IFERROR(VALUE(C65:K65),0))</f>
        <v/>
      </c>
      <c r="M65" s="19">
        <f>IF(L65="","",IF(L65&gt;=7,"Low",IF(L65&gt;=4,"Moderate","High")))</f>
        <v/>
      </c>
    </row>
    <row r="66">
      <c r="A66" s="23" t="inlineStr">
        <is>
          <t>S65</t>
        </is>
      </c>
      <c r="B66" s="23" t="inlineStr">
        <is>
          <t>Case-control</t>
        </is>
      </c>
      <c r="L66" s="19">
        <f>SUMPRODUCT(IFERROR(VALUE(C66:K66),0))</f>
        <v/>
      </c>
      <c r="M66" s="19">
        <f>IF(L66="","",IF(L66&gt;=7,"Low",IF(L66&gt;=4,"Moderate","High")))</f>
        <v/>
      </c>
    </row>
  </sheetData>
  <dataValidations count="8">
    <dataValidation sqref="C2:C23" showDropDown="0" showInputMessage="0" showErrorMessage="0" allowBlank="1" type="list">
      <formula1>Lookups!$O$3:$O$5</formula1>
    </dataValidation>
    <dataValidation sqref="D2:D23" showDropDown="0" showInputMessage="0" showErrorMessage="0" allowBlank="1" type="list">
      <formula1>Lookups!$O$3:$O$5</formula1>
    </dataValidation>
    <dataValidation sqref="E2:E23" showDropDown="0" showInputMessage="0" showErrorMessage="0" allowBlank="1" type="list">
      <formula1>Lookups!$O$3:$O$5</formula1>
    </dataValidation>
    <dataValidation sqref="F2:F23" showDropDown="0" showInputMessage="0" showErrorMessage="0" allowBlank="1" type="list">
      <formula1>Lookups!$O$3:$O$5</formula1>
    </dataValidation>
    <dataValidation sqref="G2:G23" showDropDown="0" showInputMessage="0" showErrorMessage="0" allowBlank="1" type="list">
      <formula1>Lookups!$O$3:$O$5</formula1>
    </dataValidation>
    <dataValidation sqref="H2:H23" showDropDown="0" showInputMessage="0" showErrorMessage="0" allowBlank="1" type="list">
      <formula1>Lookups!$O$3:$O$5</formula1>
    </dataValidation>
    <dataValidation sqref="I2:I23" showDropDown="0" showInputMessage="0" showErrorMessage="0" allowBlank="1" type="list">
      <formula1>Lookups!$O$3:$O$5</formula1>
    </dataValidation>
    <dataValidation sqref="J2:J23" showDropDown="0" showInputMessage="0" showErrorMessage="0" allowBlank="1" type="list">
      <formula1>Lookups!$O$3:$O$5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6" customWidth="1" min="4" max="4"/>
    <col width="18" customWidth="1" min="5" max="5"/>
    <col width="20" customWidth="1" min="6" max="6"/>
    <col width="14" customWidth="1" min="7" max="7"/>
    <col width="12" customWidth="1" min="8" max="8"/>
    <col width="34" customWidth="1" min="9" max="9"/>
  </cols>
  <sheetData>
    <row r="1" ht="42" customHeight="1">
      <c r="A1" s="12" t="inlineStr">
        <is>
          <t>Study_ID</t>
        </is>
      </c>
      <c r="B1" s="12" t="inlineStr">
        <is>
          <t>D1_randomization</t>
        </is>
      </c>
      <c r="C1" s="12" t="inlineStr">
        <is>
          <t>D2_deviations_intervention</t>
        </is>
      </c>
      <c r="D1" s="12" t="inlineStr">
        <is>
          <t>D3_missing_outcome</t>
        </is>
      </c>
      <c r="E1" s="12" t="inlineStr">
        <is>
          <t>D4_measurement_outcome</t>
        </is>
      </c>
      <c r="F1" s="12" t="inlineStr">
        <is>
          <t>D5_selection_reported_result</t>
        </is>
      </c>
      <c r="G1" s="12" t="inlineStr">
        <is>
          <t>Overall_RoB</t>
        </is>
      </c>
      <c r="H1" s="12" t="inlineStr">
        <is>
          <t>Reviewer</t>
        </is>
      </c>
      <c r="I1" s="12" t="inlineStr">
        <is>
          <t>Notes</t>
        </is>
      </c>
    </row>
    <row r="2">
      <c r="A2" s="25" t="inlineStr">
        <is>
          <t>(RCTs only — none among current includes; add rows if RCTs are found)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</sheetData>
  <dataValidations count="6">
    <dataValidation sqref="B3:B12" showDropDown="0" showInputMessage="0" showErrorMessage="0" allowBlank="1" type="list">
      <formula1>Lookups!$Q$3:$Q$6</formula1>
    </dataValidation>
    <dataValidation sqref="C3:C12" showDropDown="0" showInputMessage="0" showErrorMessage="0" allowBlank="1" type="list">
      <formula1>Lookups!$Q$3:$Q$6</formula1>
    </dataValidation>
    <dataValidation sqref="D3:D12" showDropDown="0" showInputMessage="0" showErrorMessage="0" allowBlank="1" type="list">
      <formula1>Lookups!$Q$3:$Q$6</formula1>
    </dataValidation>
    <dataValidation sqref="E3:E12" showDropDown="0" showInputMessage="0" showErrorMessage="0" allowBlank="1" type="list">
      <formula1>Lookups!$Q$3:$Q$6</formula1>
    </dataValidation>
    <dataValidation sqref="F3:F12" showDropDown="0" showInputMessage="0" showErrorMessage="0" allowBlank="1" type="list">
      <formula1>Lookups!$Q$3:$Q$6</formula1>
    </dataValidation>
    <dataValidation sqref="G3:G12" showDropDown="0" showInputMessage="0" showErrorMessage="0" allowBlank="1" type="list">
      <formula1>Lookups!$Q$3:$Q$6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5" customWidth="1" min="3" max="3"/>
    <col width="12" customWidth="1" min="4" max="4"/>
    <col width="10" customWidth="1" min="5" max="5"/>
    <col width="12" customWidth="1" min="6" max="6"/>
    <col width="12" customWidth="1" min="7" max="7"/>
    <col width="20" customWidth="1" min="8" max="8"/>
    <col width="22" customWidth="1" min="9" max="9"/>
    <col width="22" customWidth="1" min="10" max="10"/>
    <col width="20" customWidth="1" min="11" max="11"/>
    <col width="18" customWidth="1" min="12" max="12"/>
    <col width="16" customWidth="1" min="13" max="13"/>
  </cols>
  <sheetData>
    <row r="1" ht="42" customHeight="1">
      <c r="A1" s="12" t="inlineStr">
        <is>
          <t>Study_ID</t>
        </is>
      </c>
      <c r="B1" s="12" t="inlineStr">
        <is>
          <t>study_label (auto)</t>
        </is>
      </c>
      <c r="C1" s="12" t="inlineStr">
        <is>
          <t>yi = log-OR (auto)</t>
        </is>
      </c>
      <c r="D1" s="12" t="inlineStr">
        <is>
          <t>sei (auto)</t>
        </is>
      </c>
      <c r="E1" s="12" t="inlineStr">
        <is>
          <t>OR (auto)</t>
        </is>
      </c>
      <c r="F1" s="12" t="inlineStr">
        <is>
          <t>OR_CI_low (auto)</t>
        </is>
      </c>
      <c r="G1" s="12" t="inlineStr">
        <is>
          <t>OR_CI_high (auto)</t>
        </is>
      </c>
      <c r="H1" s="12" t="inlineStr">
        <is>
          <t>design (auto)</t>
        </is>
      </c>
      <c r="I1" s="12" t="inlineStr">
        <is>
          <t>care_context (auto)</t>
        </is>
      </c>
      <c r="J1" s="12" t="inlineStr">
        <is>
          <t>exposure (auto)</t>
        </is>
      </c>
      <c r="K1" s="12" t="inlineStr">
        <is>
          <t>adjusted (auto)</t>
        </is>
      </c>
      <c r="L1" s="12" t="inlineStr">
        <is>
          <t>doxycycline_subgroup (auto)</t>
        </is>
      </c>
      <c r="M1" s="12" t="inlineStr">
        <is>
          <t>primary_estimate_ID (auto)</t>
        </is>
      </c>
    </row>
    <row r="2">
      <c r="A2" s="23" t="inlineStr">
        <is>
          <t>S01</t>
        </is>
      </c>
      <c r="B2" s="26">
        <f>IFERROR(INDEX(Studies!$B:$B,MATCH(A2,Studies!$A:$A,0))&amp;" "&amp;INDEX(Studies!$C:$C,MATCH(A2,Studies!$A:$A,0)),"")</f>
        <v/>
      </c>
      <c r="C2" s="26">
        <f>IFERROR(INDEX(Estimates!$X:$X,MATCH(A2,Estimates!$AB:$AB,0)),"")</f>
        <v/>
      </c>
      <c r="D2" s="26">
        <f>IFERROR(INDEX(Estimates!$Y:$Y,MATCH(A2,Estimates!$AB:$AB,0)),"")</f>
        <v/>
      </c>
      <c r="E2" s="26">
        <f>IFERROR(EXP(C2),"")</f>
        <v/>
      </c>
      <c r="F2" s="26">
        <f>IFERROR(EXP(C2-1.96*D2),"")</f>
        <v/>
      </c>
      <c r="G2" s="26">
        <f>IFERROR(EXP(C2+1.96*D2),"")</f>
        <v/>
      </c>
      <c r="H2" s="26">
        <f>IFERROR(INDEX(Studies!$K:$K,MATCH(A2,Studies!$A:$A,0)),"")</f>
        <v/>
      </c>
      <c r="I2" s="26">
        <f>IFERROR(INDEX(Studies!$J:$J,MATCH(A2,Studies!$A:$A,0)),"")</f>
        <v/>
      </c>
      <c r="J2" s="26">
        <f>IFERROR(INDEX(Estimates!$C:$C,MATCH(A2,Estimates!$AB:$AB,0)),"")</f>
        <v/>
      </c>
      <c r="K2" s="26">
        <f>IFERROR(INDEX(Estimates!$I:$I,MATCH(A2,Estimates!$AB:$AB,0)),"")</f>
        <v/>
      </c>
      <c r="L2" s="26">
        <f>IFERROR(IF(INDEX(Estimates!$C:$C,MATCH(A2,Estimates!$AB:$AB,0))="Doxycycline","Yes","No"),"")</f>
        <v/>
      </c>
      <c r="M2" s="26">
        <f>IFERROR(INDEX(Estimates!$A:$A,MATCH(A2,Estimates!$AB:$AB,0)),"")</f>
        <v/>
      </c>
    </row>
    <row r="3">
      <c r="A3" s="23" t="inlineStr">
        <is>
          <t>S02</t>
        </is>
      </c>
      <c r="B3" s="26">
        <f>IFERROR(INDEX(Studies!$B:$B,MATCH(A3,Studies!$A:$A,0))&amp;" "&amp;INDEX(Studies!$C:$C,MATCH(A3,Studies!$A:$A,0)),"")</f>
        <v/>
      </c>
      <c r="C3" s="26">
        <f>IFERROR(INDEX(Estimates!$X:$X,MATCH(A3,Estimates!$AB:$AB,0)),"")</f>
        <v/>
      </c>
      <c r="D3" s="26">
        <f>IFERROR(INDEX(Estimates!$Y:$Y,MATCH(A3,Estimates!$AB:$AB,0)),"")</f>
        <v/>
      </c>
      <c r="E3" s="26">
        <f>IFERROR(EXP(C3),"")</f>
        <v/>
      </c>
      <c r="F3" s="26">
        <f>IFERROR(EXP(C3-1.96*D3),"")</f>
        <v/>
      </c>
      <c r="G3" s="26">
        <f>IFERROR(EXP(C3+1.96*D3),"")</f>
        <v/>
      </c>
      <c r="H3" s="26">
        <f>IFERROR(INDEX(Studies!$K:$K,MATCH(A3,Studies!$A:$A,0)),"")</f>
        <v/>
      </c>
      <c r="I3" s="26">
        <f>IFERROR(INDEX(Studies!$J:$J,MATCH(A3,Studies!$A:$A,0)),"")</f>
        <v/>
      </c>
      <c r="J3" s="26">
        <f>IFERROR(INDEX(Estimates!$C:$C,MATCH(A3,Estimates!$AB:$AB,0)),"")</f>
        <v/>
      </c>
      <c r="K3" s="26">
        <f>IFERROR(INDEX(Estimates!$I:$I,MATCH(A3,Estimates!$AB:$AB,0)),"")</f>
        <v/>
      </c>
      <c r="L3" s="26">
        <f>IFERROR(IF(INDEX(Estimates!$C:$C,MATCH(A3,Estimates!$AB:$AB,0))="Doxycycline","Yes","No"),"")</f>
        <v/>
      </c>
      <c r="M3" s="26">
        <f>IFERROR(INDEX(Estimates!$A:$A,MATCH(A3,Estimates!$AB:$AB,0)),"")</f>
        <v/>
      </c>
    </row>
    <row r="4">
      <c r="A4" s="23" t="inlineStr">
        <is>
          <t>S03</t>
        </is>
      </c>
      <c r="B4" s="26">
        <f>IFERROR(INDEX(Studies!$B:$B,MATCH(A4,Studies!$A:$A,0))&amp;" "&amp;INDEX(Studies!$C:$C,MATCH(A4,Studies!$A:$A,0)),"")</f>
        <v/>
      </c>
      <c r="C4" s="26">
        <f>IFERROR(INDEX(Estimates!$X:$X,MATCH(A4,Estimates!$AB:$AB,0)),"")</f>
        <v/>
      </c>
      <c r="D4" s="26">
        <f>IFERROR(INDEX(Estimates!$Y:$Y,MATCH(A4,Estimates!$AB:$AB,0)),"")</f>
        <v/>
      </c>
      <c r="E4" s="26">
        <f>IFERROR(EXP(C4),"")</f>
        <v/>
      </c>
      <c r="F4" s="26">
        <f>IFERROR(EXP(C4-1.96*D4),"")</f>
        <v/>
      </c>
      <c r="G4" s="26">
        <f>IFERROR(EXP(C4+1.96*D4),"")</f>
        <v/>
      </c>
      <c r="H4" s="26">
        <f>IFERROR(INDEX(Studies!$K:$K,MATCH(A4,Studies!$A:$A,0)),"")</f>
        <v/>
      </c>
      <c r="I4" s="26">
        <f>IFERROR(INDEX(Studies!$J:$J,MATCH(A4,Studies!$A:$A,0)),"")</f>
        <v/>
      </c>
      <c r="J4" s="26">
        <f>IFERROR(INDEX(Estimates!$C:$C,MATCH(A4,Estimates!$AB:$AB,0)),"")</f>
        <v/>
      </c>
      <c r="K4" s="26">
        <f>IFERROR(INDEX(Estimates!$I:$I,MATCH(A4,Estimates!$AB:$AB,0)),"")</f>
        <v/>
      </c>
      <c r="L4" s="26">
        <f>IFERROR(IF(INDEX(Estimates!$C:$C,MATCH(A4,Estimates!$AB:$AB,0))="Doxycycline","Yes","No"),"")</f>
        <v/>
      </c>
      <c r="M4" s="26">
        <f>IFERROR(INDEX(Estimates!$A:$A,MATCH(A4,Estimates!$AB:$AB,0)),"")</f>
        <v/>
      </c>
    </row>
    <row r="5">
      <c r="A5" s="23" t="inlineStr">
        <is>
          <t>S04</t>
        </is>
      </c>
      <c r="B5" s="26">
        <f>IFERROR(INDEX(Studies!$B:$B,MATCH(A5,Studies!$A:$A,0))&amp;" "&amp;INDEX(Studies!$C:$C,MATCH(A5,Studies!$A:$A,0)),"")</f>
        <v/>
      </c>
      <c r="C5" s="26">
        <f>IFERROR(INDEX(Estimates!$X:$X,MATCH(A5,Estimates!$AB:$AB,0)),"")</f>
        <v/>
      </c>
      <c r="D5" s="26">
        <f>IFERROR(INDEX(Estimates!$Y:$Y,MATCH(A5,Estimates!$AB:$AB,0)),"")</f>
        <v/>
      </c>
      <c r="E5" s="26">
        <f>IFERROR(EXP(C5),"")</f>
        <v/>
      </c>
      <c r="F5" s="26">
        <f>IFERROR(EXP(C5-1.96*D5),"")</f>
        <v/>
      </c>
      <c r="G5" s="26">
        <f>IFERROR(EXP(C5+1.96*D5),"")</f>
        <v/>
      </c>
      <c r="H5" s="26">
        <f>IFERROR(INDEX(Studies!$K:$K,MATCH(A5,Studies!$A:$A,0)),"")</f>
        <v/>
      </c>
      <c r="I5" s="26">
        <f>IFERROR(INDEX(Studies!$J:$J,MATCH(A5,Studies!$A:$A,0)),"")</f>
        <v/>
      </c>
      <c r="J5" s="26">
        <f>IFERROR(INDEX(Estimates!$C:$C,MATCH(A5,Estimates!$AB:$AB,0)),"")</f>
        <v/>
      </c>
      <c r="K5" s="26">
        <f>IFERROR(INDEX(Estimates!$I:$I,MATCH(A5,Estimates!$AB:$AB,0)),"")</f>
        <v/>
      </c>
      <c r="L5" s="26">
        <f>IFERROR(IF(INDEX(Estimates!$C:$C,MATCH(A5,Estimates!$AB:$AB,0))="Doxycycline","Yes","No"),"")</f>
        <v/>
      </c>
      <c r="M5" s="26">
        <f>IFERROR(INDEX(Estimates!$A:$A,MATCH(A5,Estimates!$AB:$AB,0)),"")</f>
        <v/>
      </c>
    </row>
    <row r="6">
      <c r="A6" s="23" t="inlineStr">
        <is>
          <t>S05</t>
        </is>
      </c>
      <c r="B6" s="26">
        <f>IFERROR(INDEX(Studies!$B:$B,MATCH(A6,Studies!$A:$A,0))&amp;" "&amp;INDEX(Studies!$C:$C,MATCH(A6,Studies!$A:$A,0)),"")</f>
        <v/>
      </c>
      <c r="C6" s="26">
        <f>IFERROR(INDEX(Estimates!$X:$X,MATCH(A6,Estimates!$AB:$AB,0)),"")</f>
        <v/>
      </c>
      <c r="D6" s="26">
        <f>IFERROR(INDEX(Estimates!$Y:$Y,MATCH(A6,Estimates!$AB:$AB,0)),"")</f>
        <v/>
      </c>
      <c r="E6" s="26">
        <f>IFERROR(EXP(C6),"")</f>
        <v/>
      </c>
      <c r="F6" s="26">
        <f>IFERROR(EXP(C6-1.96*D6),"")</f>
        <v/>
      </c>
      <c r="G6" s="26">
        <f>IFERROR(EXP(C6+1.96*D6),"")</f>
        <v/>
      </c>
      <c r="H6" s="26">
        <f>IFERROR(INDEX(Studies!$K:$K,MATCH(A6,Studies!$A:$A,0)),"")</f>
        <v/>
      </c>
      <c r="I6" s="26">
        <f>IFERROR(INDEX(Studies!$J:$J,MATCH(A6,Studies!$A:$A,0)),"")</f>
        <v/>
      </c>
      <c r="J6" s="26">
        <f>IFERROR(INDEX(Estimates!$C:$C,MATCH(A6,Estimates!$AB:$AB,0)),"")</f>
        <v/>
      </c>
      <c r="K6" s="26">
        <f>IFERROR(INDEX(Estimates!$I:$I,MATCH(A6,Estimates!$AB:$AB,0)),"")</f>
        <v/>
      </c>
      <c r="L6" s="26">
        <f>IFERROR(IF(INDEX(Estimates!$C:$C,MATCH(A6,Estimates!$AB:$AB,0))="Doxycycline","Yes","No"),"")</f>
        <v/>
      </c>
      <c r="M6" s="26">
        <f>IFERROR(INDEX(Estimates!$A:$A,MATCH(A6,Estimates!$AB:$AB,0)),"")</f>
        <v/>
      </c>
    </row>
    <row r="7">
      <c r="A7" s="23" t="inlineStr">
        <is>
          <t>S06</t>
        </is>
      </c>
      <c r="B7" s="26">
        <f>IFERROR(INDEX(Studies!$B:$B,MATCH(A7,Studies!$A:$A,0))&amp;" "&amp;INDEX(Studies!$C:$C,MATCH(A7,Studies!$A:$A,0)),"")</f>
        <v/>
      </c>
      <c r="C7" s="26">
        <f>IFERROR(INDEX(Estimates!$X:$X,MATCH(A7,Estimates!$AB:$AB,0)),"")</f>
        <v/>
      </c>
      <c r="D7" s="26">
        <f>IFERROR(INDEX(Estimates!$Y:$Y,MATCH(A7,Estimates!$AB:$AB,0)),"")</f>
        <v/>
      </c>
      <c r="E7" s="26">
        <f>IFERROR(EXP(C7),"")</f>
        <v/>
      </c>
      <c r="F7" s="26">
        <f>IFERROR(EXP(C7-1.96*D7),"")</f>
        <v/>
      </c>
      <c r="G7" s="26">
        <f>IFERROR(EXP(C7+1.96*D7),"")</f>
        <v/>
      </c>
      <c r="H7" s="26">
        <f>IFERROR(INDEX(Studies!$K:$K,MATCH(A7,Studies!$A:$A,0)),"")</f>
        <v/>
      </c>
      <c r="I7" s="26">
        <f>IFERROR(INDEX(Studies!$J:$J,MATCH(A7,Studies!$A:$A,0)),"")</f>
        <v/>
      </c>
      <c r="J7" s="26">
        <f>IFERROR(INDEX(Estimates!$C:$C,MATCH(A7,Estimates!$AB:$AB,0)),"")</f>
        <v/>
      </c>
      <c r="K7" s="26">
        <f>IFERROR(INDEX(Estimates!$I:$I,MATCH(A7,Estimates!$AB:$AB,0)),"")</f>
        <v/>
      </c>
      <c r="L7" s="26">
        <f>IFERROR(IF(INDEX(Estimates!$C:$C,MATCH(A7,Estimates!$AB:$AB,0))="Doxycycline","Yes","No"),"")</f>
        <v/>
      </c>
      <c r="M7" s="26">
        <f>IFERROR(INDEX(Estimates!$A:$A,MATCH(A7,Estimates!$AB:$AB,0)),"")</f>
        <v/>
      </c>
    </row>
    <row r="8">
      <c r="A8" s="23" t="inlineStr">
        <is>
          <t>S07</t>
        </is>
      </c>
      <c r="B8" s="26">
        <f>IFERROR(INDEX(Studies!$B:$B,MATCH(A8,Studies!$A:$A,0))&amp;" "&amp;INDEX(Studies!$C:$C,MATCH(A8,Studies!$A:$A,0)),"")</f>
        <v/>
      </c>
      <c r="C8" s="26">
        <f>IFERROR(INDEX(Estimates!$X:$X,MATCH(A8,Estimates!$AB:$AB,0)),"")</f>
        <v/>
      </c>
      <c r="D8" s="26">
        <f>IFERROR(INDEX(Estimates!$Y:$Y,MATCH(A8,Estimates!$AB:$AB,0)),"")</f>
        <v/>
      </c>
      <c r="E8" s="26">
        <f>IFERROR(EXP(C8),"")</f>
        <v/>
      </c>
      <c r="F8" s="26">
        <f>IFERROR(EXP(C8-1.96*D8),"")</f>
        <v/>
      </c>
      <c r="G8" s="26">
        <f>IFERROR(EXP(C8+1.96*D8),"")</f>
        <v/>
      </c>
      <c r="H8" s="26">
        <f>IFERROR(INDEX(Studies!$K:$K,MATCH(A8,Studies!$A:$A,0)),"")</f>
        <v/>
      </c>
      <c r="I8" s="26">
        <f>IFERROR(INDEX(Studies!$J:$J,MATCH(A8,Studies!$A:$A,0)),"")</f>
        <v/>
      </c>
      <c r="J8" s="26">
        <f>IFERROR(INDEX(Estimates!$C:$C,MATCH(A8,Estimates!$AB:$AB,0)),"")</f>
        <v/>
      </c>
      <c r="K8" s="26">
        <f>IFERROR(INDEX(Estimates!$I:$I,MATCH(A8,Estimates!$AB:$AB,0)),"")</f>
        <v/>
      </c>
      <c r="L8" s="26">
        <f>IFERROR(IF(INDEX(Estimates!$C:$C,MATCH(A8,Estimates!$AB:$AB,0))="Doxycycline","Yes","No"),"")</f>
        <v/>
      </c>
      <c r="M8" s="26">
        <f>IFERROR(INDEX(Estimates!$A:$A,MATCH(A8,Estimates!$AB:$AB,0)),"")</f>
        <v/>
      </c>
    </row>
    <row r="9">
      <c r="A9" s="23" t="inlineStr">
        <is>
          <t>S08</t>
        </is>
      </c>
      <c r="B9" s="26">
        <f>IFERROR(INDEX(Studies!$B:$B,MATCH(A9,Studies!$A:$A,0))&amp;" "&amp;INDEX(Studies!$C:$C,MATCH(A9,Studies!$A:$A,0)),"")</f>
        <v/>
      </c>
      <c r="C9" s="26">
        <f>IFERROR(INDEX(Estimates!$X:$X,MATCH(A9,Estimates!$AB:$AB,0)),"")</f>
        <v/>
      </c>
      <c r="D9" s="26">
        <f>IFERROR(INDEX(Estimates!$Y:$Y,MATCH(A9,Estimates!$AB:$AB,0)),"")</f>
        <v/>
      </c>
      <c r="E9" s="26">
        <f>IFERROR(EXP(C9),"")</f>
        <v/>
      </c>
      <c r="F9" s="26">
        <f>IFERROR(EXP(C9-1.96*D9),"")</f>
        <v/>
      </c>
      <c r="G9" s="26">
        <f>IFERROR(EXP(C9+1.96*D9),"")</f>
        <v/>
      </c>
      <c r="H9" s="26">
        <f>IFERROR(INDEX(Studies!$K:$K,MATCH(A9,Studies!$A:$A,0)),"")</f>
        <v/>
      </c>
      <c r="I9" s="26">
        <f>IFERROR(INDEX(Studies!$J:$J,MATCH(A9,Studies!$A:$A,0)),"")</f>
        <v/>
      </c>
      <c r="J9" s="26">
        <f>IFERROR(INDEX(Estimates!$C:$C,MATCH(A9,Estimates!$AB:$AB,0)),"")</f>
        <v/>
      </c>
      <c r="K9" s="26">
        <f>IFERROR(INDEX(Estimates!$I:$I,MATCH(A9,Estimates!$AB:$AB,0)),"")</f>
        <v/>
      </c>
      <c r="L9" s="26">
        <f>IFERROR(IF(INDEX(Estimates!$C:$C,MATCH(A9,Estimates!$AB:$AB,0))="Doxycycline","Yes","No"),"")</f>
        <v/>
      </c>
      <c r="M9" s="26">
        <f>IFERROR(INDEX(Estimates!$A:$A,MATCH(A9,Estimates!$AB:$AB,0)),"")</f>
        <v/>
      </c>
    </row>
    <row r="10">
      <c r="A10" s="23" t="inlineStr">
        <is>
          <t>S09</t>
        </is>
      </c>
      <c r="B10" s="26">
        <f>IFERROR(INDEX(Studies!$B:$B,MATCH(A10,Studies!$A:$A,0))&amp;" "&amp;INDEX(Studies!$C:$C,MATCH(A10,Studies!$A:$A,0)),"")</f>
        <v/>
      </c>
      <c r="C10" s="26">
        <f>IFERROR(INDEX(Estimates!$X:$X,MATCH(A10,Estimates!$AB:$AB,0)),"")</f>
        <v/>
      </c>
      <c r="D10" s="26">
        <f>IFERROR(INDEX(Estimates!$Y:$Y,MATCH(A10,Estimates!$AB:$AB,0)),"")</f>
        <v/>
      </c>
      <c r="E10" s="26">
        <f>IFERROR(EXP(C10),"")</f>
        <v/>
      </c>
      <c r="F10" s="26">
        <f>IFERROR(EXP(C10-1.96*D10),"")</f>
        <v/>
      </c>
      <c r="G10" s="26">
        <f>IFERROR(EXP(C10+1.96*D10),"")</f>
        <v/>
      </c>
      <c r="H10" s="26">
        <f>IFERROR(INDEX(Studies!$K:$K,MATCH(A10,Studies!$A:$A,0)),"")</f>
        <v/>
      </c>
      <c r="I10" s="26">
        <f>IFERROR(INDEX(Studies!$J:$J,MATCH(A10,Studies!$A:$A,0)),"")</f>
        <v/>
      </c>
      <c r="J10" s="26">
        <f>IFERROR(INDEX(Estimates!$C:$C,MATCH(A10,Estimates!$AB:$AB,0)),"")</f>
        <v/>
      </c>
      <c r="K10" s="26">
        <f>IFERROR(INDEX(Estimates!$I:$I,MATCH(A10,Estimates!$AB:$AB,0)),"")</f>
        <v/>
      </c>
      <c r="L10" s="26">
        <f>IFERROR(IF(INDEX(Estimates!$C:$C,MATCH(A10,Estimates!$AB:$AB,0))="Doxycycline","Yes","No"),"")</f>
        <v/>
      </c>
      <c r="M10" s="26">
        <f>IFERROR(INDEX(Estimates!$A:$A,MATCH(A10,Estimates!$AB:$AB,0)),"")</f>
        <v/>
      </c>
    </row>
    <row r="11">
      <c r="A11" s="23" t="inlineStr">
        <is>
          <t>S10</t>
        </is>
      </c>
      <c r="B11" s="26">
        <f>IFERROR(INDEX(Studies!$B:$B,MATCH(A11,Studies!$A:$A,0))&amp;" "&amp;INDEX(Studies!$C:$C,MATCH(A11,Studies!$A:$A,0)),"")</f>
        <v/>
      </c>
      <c r="C11" s="26">
        <f>IFERROR(INDEX(Estimates!$X:$X,MATCH(A11,Estimates!$AB:$AB,0)),"")</f>
        <v/>
      </c>
      <c r="D11" s="26">
        <f>IFERROR(INDEX(Estimates!$Y:$Y,MATCH(A11,Estimates!$AB:$AB,0)),"")</f>
        <v/>
      </c>
      <c r="E11" s="26">
        <f>IFERROR(EXP(C11),"")</f>
        <v/>
      </c>
      <c r="F11" s="26">
        <f>IFERROR(EXP(C11-1.96*D11),"")</f>
        <v/>
      </c>
      <c r="G11" s="26">
        <f>IFERROR(EXP(C11+1.96*D11),"")</f>
        <v/>
      </c>
      <c r="H11" s="26">
        <f>IFERROR(INDEX(Studies!$K:$K,MATCH(A11,Studies!$A:$A,0)),"")</f>
        <v/>
      </c>
      <c r="I11" s="26">
        <f>IFERROR(INDEX(Studies!$J:$J,MATCH(A11,Studies!$A:$A,0)),"")</f>
        <v/>
      </c>
      <c r="J11" s="26">
        <f>IFERROR(INDEX(Estimates!$C:$C,MATCH(A11,Estimates!$AB:$AB,0)),"")</f>
        <v/>
      </c>
      <c r="K11" s="26">
        <f>IFERROR(INDEX(Estimates!$I:$I,MATCH(A11,Estimates!$AB:$AB,0)),"")</f>
        <v/>
      </c>
      <c r="L11" s="26">
        <f>IFERROR(IF(INDEX(Estimates!$C:$C,MATCH(A11,Estimates!$AB:$AB,0))="Doxycycline","Yes","No"),"")</f>
        <v/>
      </c>
      <c r="M11" s="26">
        <f>IFERROR(INDEX(Estimates!$A:$A,MATCH(A11,Estimates!$AB:$AB,0)),"")</f>
        <v/>
      </c>
    </row>
    <row r="12">
      <c r="A12" s="23" t="inlineStr">
        <is>
          <t>S11</t>
        </is>
      </c>
      <c r="B12" s="26">
        <f>IFERROR(INDEX(Studies!$B:$B,MATCH(A12,Studies!$A:$A,0))&amp;" "&amp;INDEX(Studies!$C:$C,MATCH(A12,Studies!$A:$A,0)),"")</f>
        <v/>
      </c>
      <c r="C12" s="26">
        <f>IFERROR(INDEX(Estimates!$X:$X,MATCH(A12,Estimates!$AB:$AB,0)),"")</f>
        <v/>
      </c>
      <c r="D12" s="26">
        <f>IFERROR(INDEX(Estimates!$Y:$Y,MATCH(A12,Estimates!$AB:$AB,0)),"")</f>
        <v/>
      </c>
      <c r="E12" s="26">
        <f>IFERROR(EXP(C12),"")</f>
        <v/>
      </c>
      <c r="F12" s="26">
        <f>IFERROR(EXP(C12-1.96*D12),"")</f>
        <v/>
      </c>
      <c r="G12" s="26">
        <f>IFERROR(EXP(C12+1.96*D12),"")</f>
        <v/>
      </c>
      <c r="H12" s="26">
        <f>IFERROR(INDEX(Studies!$K:$K,MATCH(A12,Studies!$A:$A,0)),"")</f>
        <v/>
      </c>
      <c r="I12" s="26">
        <f>IFERROR(INDEX(Studies!$J:$J,MATCH(A12,Studies!$A:$A,0)),"")</f>
        <v/>
      </c>
      <c r="J12" s="26">
        <f>IFERROR(INDEX(Estimates!$C:$C,MATCH(A12,Estimates!$AB:$AB,0)),"")</f>
        <v/>
      </c>
      <c r="K12" s="26">
        <f>IFERROR(INDEX(Estimates!$I:$I,MATCH(A12,Estimates!$AB:$AB,0)),"")</f>
        <v/>
      </c>
      <c r="L12" s="26">
        <f>IFERROR(IF(INDEX(Estimates!$C:$C,MATCH(A12,Estimates!$AB:$AB,0))="Doxycycline","Yes","No"),"")</f>
        <v/>
      </c>
      <c r="M12" s="26">
        <f>IFERROR(INDEX(Estimates!$A:$A,MATCH(A12,Estimates!$AB:$AB,0)),"")</f>
        <v/>
      </c>
    </row>
    <row r="13">
      <c r="A13" s="23" t="inlineStr">
        <is>
          <t>S12</t>
        </is>
      </c>
      <c r="B13" s="26">
        <f>IFERROR(INDEX(Studies!$B:$B,MATCH(A13,Studies!$A:$A,0))&amp;" "&amp;INDEX(Studies!$C:$C,MATCH(A13,Studies!$A:$A,0)),"")</f>
        <v/>
      </c>
      <c r="C13" s="26">
        <f>IFERROR(INDEX(Estimates!$X:$X,MATCH(A13,Estimates!$AB:$AB,0)),"")</f>
        <v/>
      </c>
      <c r="D13" s="26">
        <f>IFERROR(INDEX(Estimates!$Y:$Y,MATCH(A13,Estimates!$AB:$AB,0)),"")</f>
        <v/>
      </c>
      <c r="E13" s="26">
        <f>IFERROR(EXP(C13),"")</f>
        <v/>
      </c>
      <c r="F13" s="26">
        <f>IFERROR(EXP(C13-1.96*D13),"")</f>
        <v/>
      </c>
      <c r="G13" s="26">
        <f>IFERROR(EXP(C13+1.96*D13),"")</f>
        <v/>
      </c>
      <c r="H13" s="26">
        <f>IFERROR(INDEX(Studies!$K:$K,MATCH(A13,Studies!$A:$A,0)),"")</f>
        <v/>
      </c>
      <c r="I13" s="26">
        <f>IFERROR(INDEX(Studies!$J:$J,MATCH(A13,Studies!$A:$A,0)),"")</f>
        <v/>
      </c>
      <c r="J13" s="26">
        <f>IFERROR(INDEX(Estimates!$C:$C,MATCH(A13,Estimates!$AB:$AB,0)),"")</f>
        <v/>
      </c>
      <c r="K13" s="26">
        <f>IFERROR(INDEX(Estimates!$I:$I,MATCH(A13,Estimates!$AB:$AB,0)),"")</f>
        <v/>
      </c>
      <c r="L13" s="26">
        <f>IFERROR(IF(INDEX(Estimates!$C:$C,MATCH(A13,Estimates!$AB:$AB,0))="Doxycycline","Yes","No"),"")</f>
        <v/>
      </c>
      <c r="M13" s="26">
        <f>IFERROR(INDEX(Estimates!$A:$A,MATCH(A13,Estimates!$AB:$AB,0)),"")</f>
        <v/>
      </c>
    </row>
    <row r="14">
      <c r="A14" s="23" t="inlineStr">
        <is>
          <t>S13</t>
        </is>
      </c>
      <c r="B14" s="26">
        <f>IFERROR(INDEX(Studies!$B:$B,MATCH(A14,Studies!$A:$A,0))&amp;" "&amp;INDEX(Studies!$C:$C,MATCH(A14,Studies!$A:$A,0)),"")</f>
        <v/>
      </c>
      <c r="C14" s="26">
        <f>IFERROR(INDEX(Estimates!$X:$X,MATCH(A14,Estimates!$AB:$AB,0)),"")</f>
        <v/>
      </c>
      <c r="D14" s="26">
        <f>IFERROR(INDEX(Estimates!$Y:$Y,MATCH(A14,Estimates!$AB:$AB,0)),"")</f>
        <v/>
      </c>
      <c r="E14" s="26">
        <f>IFERROR(EXP(C14),"")</f>
        <v/>
      </c>
      <c r="F14" s="26">
        <f>IFERROR(EXP(C14-1.96*D14),"")</f>
        <v/>
      </c>
      <c r="G14" s="26">
        <f>IFERROR(EXP(C14+1.96*D14),"")</f>
        <v/>
      </c>
      <c r="H14" s="26">
        <f>IFERROR(INDEX(Studies!$K:$K,MATCH(A14,Studies!$A:$A,0)),"")</f>
        <v/>
      </c>
      <c r="I14" s="26">
        <f>IFERROR(INDEX(Studies!$J:$J,MATCH(A14,Studies!$A:$A,0)),"")</f>
        <v/>
      </c>
      <c r="J14" s="26">
        <f>IFERROR(INDEX(Estimates!$C:$C,MATCH(A14,Estimates!$AB:$AB,0)),"")</f>
        <v/>
      </c>
      <c r="K14" s="26">
        <f>IFERROR(INDEX(Estimates!$I:$I,MATCH(A14,Estimates!$AB:$AB,0)),"")</f>
        <v/>
      </c>
      <c r="L14" s="26">
        <f>IFERROR(IF(INDEX(Estimates!$C:$C,MATCH(A14,Estimates!$AB:$AB,0))="Doxycycline","Yes","No"),"")</f>
        <v/>
      </c>
      <c r="M14" s="26">
        <f>IFERROR(INDEX(Estimates!$A:$A,MATCH(A14,Estimates!$AB:$AB,0)),"")</f>
        <v/>
      </c>
    </row>
    <row r="15">
      <c r="A15" s="23" t="inlineStr">
        <is>
          <t>S14</t>
        </is>
      </c>
      <c r="B15" s="26">
        <f>IFERROR(INDEX(Studies!$B:$B,MATCH(A15,Studies!$A:$A,0))&amp;" "&amp;INDEX(Studies!$C:$C,MATCH(A15,Studies!$A:$A,0)),"")</f>
        <v/>
      </c>
      <c r="C15" s="26">
        <f>IFERROR(INDEX(Estimates!$X:$X,MATCH(A15,Estimates!$AB:$AB,0)),"")</f>
        <v/>
      </c>
      <c r="D15" s="26">
        <f>IFERROR(INDEX(Estimates!$Y:$Y,MATCH(A15,Estimates!$AB:$AB,0)),"")</f>
        <v/>
      </c>
      <c r="E15" s="26">
        <f>IFERROR(EXP(C15),"")</f>
        <v/>
      </c>
      <c r="F15" s="26">
        <f>IFERROR(EXP(C15-1.96*D15),"")</f>
        <v/>
      </c>
      <c r="G15" s="26">
        <f>IFERROR(EXP(C15+1.96*D15),"")</f>
        <v/>
      </c>
      <c r="H15" s="26">
        <f>IFERROR(INDEX(Studies!$K:$K,MATCH(A15,Studies!$A:$A,0)),"")</f>
        <v/>
      </c>
      <c r="I15" s="26">
        <f>IFERROR(INDEX(Studies!$J:$J,MATCH(A15,Studies!$A:$A,0)),"")</f>
        <v/>
      </c>
      <c r="J15" s="26">
        <f>IFERROR(INDEX(Estimates!$C:$C,MATCH(A15,Estimates!$AB:$AB,0)),"")</f>
        <v/>
      </c>
      <c r="K15" s="26">
        <f>IFERROR(INDEX(Estimates!$I:$I,MATCH(A15,Estimates!$AB:$AB,0)),"")</f>
        <v/>
      </c>
      <c r="L15" s="26">
        <f>IFERROR(IF(INDEX(Estimates!$C:$C,MATCH(A15,Estimates!$AB:$AB,0))="Doxycycline","Yes","No"),"")</f>
        <v/>
      </c>
      <c r="M15" s="26">
        <f>IFERROR(INDEX(Estimates!$A:$A,MATCH(A15,Estimates!$AB:$AB,0)),"")</f>
        <v/>
      </c>
    </row>
    <row r="16">
      <c r="A16" s="23" t="inlineStr">
        <is>
          <t>S15</t>
        </is>
      </c>
      <c r="B16" s="26">
        <f>IFERROR(INDEX(Studies!$B:$B,MATCH(A16,Studies!$A:$A,0))&amp;" "&amp;INDEX(Studies!$C:$C,MATCH(A16,Studies!$A:$A,0)),"")</f>
        <v/>
      </c>
      <c r="C16" s="26">
        <f>IFERROR(INDEX(Estimates!$X:$X,MATCH(A16,Estimates!$AB:$AB,0)),"")</f>
        <v/>
      </c>
      <c r="D16" s="26">
        <f>IFERROR(INDEX(Estimates!$Y:$Y,MATCH(A16,Estimates!$AB:$AB,0)),"")</f>
        <v/>
      </c>
      <c r="E16" s="26">
        <f>IFERROR(EXP(C16),"")</f>
        <v/>
      </c>
      <c r="F16" s="26">
        <f>IFERROR(EXP(C16-1.96*D16),"")</f>
        <v/>
      </c>
      <c r="G16" s="26">
        <f>IFERROR(EXP(C16+1.96*D16),"")</f>
        <v/>
      </c>
      <c r="H16" s="26">
        <f>IFERROR(INDEX(Studies!$K:$K,MATCH(A16,Studies!$A:$A,0)),"")</f>
        <v/>
      </c>
      <c r="I16" s="26">
        <f>IFERROR(INDEX(Studies!$J:$J,MATCH(A16,Studies!$A:$A,0)),"")</f>
        <v/>
      </c>
      <c r="J16" s="26">
        <f>IFERROR(INDEX(Estimates!$C:$C,MATCH(A16,Estimates!$AB:$AB,0)),"")</f>
        <v/>
      </c>
      <c r="K16" s="26">
        <f>IFERROR(INDEX(Estimates!$I:$I,MATCH(A16,Estimates!$AB:$AB,0)),"")</f>
        <v/>
      </c>
      <c r="L16" s="26">
        <f>IFERROR(IF(INDEX(Estimates!$C:$C,MATCH(A16,Estimates!$AB:$AB,0))="Doxycycline","Yes","No"),"")</f>
        <v/>
      </c>
      <c r="M16" s="26">
        <f>IFERROR(INDEX(Estimates!$A:$A,MATCH(A16,Estimates!$AB:$AB,0)),"")</f>
        <v/>
      </c>
    </row>
    <row r="17">
      <c r="A17" s="23" t="inlineStr">
        <is>
          <t>S16</t>
        </is>
      </c>
      <c r="B17" s="26">
        <f>IFERROR(INDEX(Studies!$B:$B,MATCH(A17,Studies!$A:$A,0))&amp;" "&amp;INDEX(Studies!$C:$C,MATCH(A17,Studies!$A:$A,0)),"")</f>
        <v/>
      </c>
      <c r="C17" s="26">
        <f>IFERROR(INDEX(Estimates!$X:$X,MATCH(A17,Estimates!$AB:$AB,0)),"")</f>
        <v/>
      </c>
      <c r="D17" s="26">
        <f>IFERROR(INDEX(Estimates!$Y:$Y,MATCH(A17,Estimates!$AB:$AB,0)),"")</f>
        <v/>
      </c>
      <c r="E17" s="26">
        <f>IFERROR(EXP(C17),"")</f>
        <v/>
      </c>
      <c r="F17" s="26">
        <f>IFERROR(EXP(C17-1.96*D17),"")</f>
        <v/>
      </c>
      <c r="G17" s="26">
        <f>IFERROR(EXP(C17+1.96*D17),"")</f>
        <v/>
      </c>
      <c r="H17" s="26">
        <f>IFERROR(INDEX(Studies!$K:$K,MATCH(A17,Studies!$A:$A,0)),"")</f>
        <v/>
      </c>
      <c r="I17" s="26">
        <f>IFERROR(INDEX(Studies!$J:$J,MATCH(A17,Studies!$A:$A,0)),"")</f>
        <v/>
      </c>
      <c r="J17" s="26">
        <f>IFERROR(INDEX(Estimates!$C:$C,MATCH(A17,Estimates!$AB:$AB,0)),"")</f>
        <v/>
      </c>
      <c r="K17" s="26">
        <f>IFERROR(INDEX(Estimates!$I:$I,MATCH(A17,Estimates!$AB:$AB,0)),"")</f>
        <v/>
      </c>
      <c r="L17" s="26">
        <f>IFERROR(IF(INDEX(Estimates!$C:$C,MATCH(A17,Estimates!$AB:$AB,0))="Doxycycline","Yes","No"),"")</f>
        <v/>
      </c>
      <c r="M17" s="26">
        <f>IFERROR(INDEX(Estimates!$A:$A,MATCH(A17,Estimates!$AB:$AB,0)),"")</f>
        <v/>
      </c>
    </row>
    <row r="18">
      <c r="A18" s="23" t="inlineStr">
        <is>
          <t>S17</t>
        </is>
      </c>
      <c r="B18" s="26">
        <f>IFERROR(INDEX(Studies!$B:$B,MATCH(A18,Studies!$A:$A,0))&amp;" "&amp;INDEX(Studies!$C:$C,MATCH(A18,Studies!$A:$A,0)),"")</f>
        <v/>
      </c>
      <c r="C18" s="26">
        <f>IFERROR(INDEX(Estimates!$X:$X,MATCH(A18,Estimates!$AB:$AB,0)),"")</f>
        <v/>
      </c>
      <c r="D18" s="26">
        <f>IFERROR(INDEX(Estimates!$Y:$Y,MATCH(A18,Estimates!$AB:$AB,0)),"")</f>
        <v/>
      </c>
      <c r="E18" s="26">
        <f>IFERROR(EXP(C18),"")</f>
        <v/>
      </c>
      <c r="F18" s="26">
        <f>IFERROR(EXP(C18-1.96*D18),"")</f>
        <v/>
      </c>
      <c r="G18" s="26">
        <f>IFERROR(EXP(C18+1.96*D18),"")</f>
        <v/>
      </c>
      <c r="H18" s="26">
        <f>IFERROR(INDEX(Studies!$K:$K,MATCH(A18,Studies!$A:$A,0)),"")</f>
        <v/>
      </c>
      <c r="I18" s="26">
        <f>IFERROR(INDEX(Studies!$J:$J,MATCH(A18,Studies!$A:$A,0)),"")</f>
        <v/>
      </c>
      <c r="J18" s="26">
        <f>IFERROR(INDEX(Estimates!$C:$C,MATCH(A18,Estimates!$AB:$AB,0)),"")</f>
        <v/>
      </c>
      <c r="K18" s="26">
        <f>IFERROR(INDEX(Estimates!$I:$I,MATCH(A18,Estimates!$AB:$AB,0)),"")</f>
        <v/>
      </c>
      <c r="L18" s="26">
        <f>IFERROR(IF(INDEX(Estimates!$C:$C,MATCH(A18,Estimates!$AB:$AB,0))="Doxycycline","Yes","No"),"")</f>
        <v/>
      </c>
      <c r="M18" s="26">
        <f>IFERROR(INDEX(Estimates!$A:$A,MATCH(A18,Estimates!$AB:$AB,0)),"")</f>
        <v/>
      </c>
    </row>
    <row r="19">
      <c r="A19" s="23" t="inlineStr">
        <is>
          <t>S18</t>
        </is>
      </c>
      <c r="B19" s="26">
        <f>IFERROR(INDEX(Studies!$B:$B,MATCH(A19,Studies!$A:$A,0))&amp;" "&amp;INDEX(Studies!$C:$C,MATCH(A19,Studies!$A:$A,0)),"")</f>
        <v/>
      </c>
      <c r="C19" s="26">
        <f>IFERROR(INDEX(Estimates!$X:$X,MATCH(A19,Estimates!$AB:$AB,0)),"")</f>
        <v/>
      </c>
      <c r="D19" s="26">
        <f>IFERROR(INDEX(Estimates!$Y:$Y,MATCH(A19,Estimates!$AB:$AB,0)),"")</f>
        <v/>
      </c>
      <c r="E19" s="26">
        <f>IFERROR(EXP(C19),"")</f>
        <v/>
      </c>
      <c r="F19" s="26">
        <f>IFERROR(EXP(C19-1.96*D19),"")</f>
        <v/>
      </c>
      <c r="G19" s="26">
        <f>IFERROR(EXP(C19+1.96*D19),"")</f>
        <v/>
      </c>
      <c r="H19" s="26">
        <f>IFERROR(INDEX(Studies!$K:$K,MATCH(A19,Studies!$A:$A,0)),"")</f>
        <v/>
      </c>
      <c r="I19" s="26">
        <f>IFERROR(INDEX(Studies!$J:$J,MATCH(A19,Studies!$A:$A,0)),"")</f>
        <v/>
      </c>
      <c r="J19" s="26">
        <f>IFERROR(INDEX(Estimates!$C:$C,MATCH(A19,Estimates!$AB:$AB,0)),"")</f>
        <v/>
      </c>
      <c r="K19" s="26">
        <f>IFERROR(INDEX(Estimates!$I:$I,MATCH(A19,Estimates!$AB:$AB,0)),"")</f>
        <v/>
      </c>
      <c r="L19" s="26">
        <f>IFERROR(IF(INDEX(Estimates!$C:$C,MATCH(A19,Estimates!$AB:$AB,0))="Doxycycline","Yes","No"),"")</f>
        <v/>
      </c>
      <c r="M19" s="26">
        <f>IFERROR(INDEX(Estimates!$A:$A,MATCH(A19,Estimates!$AB:$AB,0)),"")</f>
        <v/>
      </c>
    </row>
    <row r="20">
      <c r="A20" s="23" t="inlineStr">
        <is>
          <t>S19</t>
        </is>
      </c>
      <c r="B20" s="26">
        <f>IFERROR(INDEX(Studies!$B:$B,MATCH(A20,Studies!$A:$A,0))&amp;" "&amp;INDEX(Studies!$C:$C,MATCH(A20,Studies!$A:$A,0)),"")</f>
        <v/>
      </c>
      <c r="C20" s="26">
        <f>IFERROR(INDEX(Estimates!$X:$X,MATCH(A20,Estimates!$AB:$AB,0)),"")</f>
        <v/>
      </c>
      <c r="D20" s="26">
        <f>IFERROR(INDEX(Estimates!$Y:$Y,MATCH(A20,Estimates!$AB:$AB,0)),"")</f>
        <v/>
      </c>
      <c r="E20" s="26">
        <f>IFERROR(EXP(C20),"")</f>
        <v/>
      </c>
      <c r="F20" s="26">
        <f>IFERROR(EXP(C20-1.96*D20),"")</f>
        <v/>
      </c>
      <c r="G20" s="26">
        <f>IFERROR(EXP(C20+1.96*D20),"")</f>
        <v/>
      </c>
      <c r="H20" s="26">
        <f>IFERROR(INDEX(Studies!$K:$K,MATCH(A20,Studies!$A:$A,0)),"")</f>
        <v/>
      </c>
      <c r="I20" s="26">
        <f>IFERROR(INDEX(Studies!$J:$J,MATCH(A20,Studies!$A:$A,0)),"")</f>
        <v/>
      </c>
      <c r="J20" s="26">
        <f>IFERROR(INDEX(Estimates!$C:$C,MATCH(A20,Estimates!$AB:$AB,0)),"")</f>
        <v/>
      </c>
      <c r="K20" s="26">
        <f>IFERROR(INDEX(Estimates!$I:$I,MATCH(A20,Estimates!$AB:$AB,0)),"")</f>
        <v/>
      </c>
      <c r="L20" s="26">
        <f>IFERROR(IF(INDEX(Estimates!$C:$C,MATCH(A20,Estimates!$AB:$AB,0))="Doxycycline","Yes","No"),"")</f>
        <v/>
      </c>
      <c r="M20" s="26">
        <f>IFERROR(INDEX(Estimates!$A:$A,MATCH(A20,Estimates!$AB:$AB,0)),"")</f>
        <v/>
      </c>
    </row>
    <row r="21">
      <c r="A21" s="23" t="inlineStr">
        <is>
          <t>S20</t>
        </is>
      </c>
      <c r="B21" s="26">
        <f>IFERROR(INDEX(Studies!$B:$B,MATCH(A21,Studies!$A:$A,0))&amp;" "&amp;INDEX(Studies!$C:$C,MATCH(A21,Studies!$A:$A,0)),"")</f>
        <v/>
      </c>
      <c r="C21" s="26">
        <f>IFERROR(INDEX(Estimates!$X:$X,MATCH(A21,Estimates!$AB:$AB,0)),"")</f>
        <v/>
      </c>
      <c r="D21" s="26">
        <f>IFERROR(INDEX(Estimates!$Y:$Y,MATCH(A21,Estimates!$AB:$AB,0)),"")</f>
        <v/>
      </c>
      <c r="E21" s="26">
        <f>IFERROR(EXP(C21),"")</f>
        <v/>
      </c>
      <c r="F21" s="26">
        <f>IFERROR(EXP(C21-1.96*D21),"")</f>
        <v/>
      </c>
      <c r="G21" s="26">
        <f>IFERROR(EXP(C21+1.96*D21),"")</f>
        <v/>
      </c>
      <c r="H21" s="26">
        <f>IFERROR(INDEX(Studies!$K:$K,MATCH(A21,Studies!$A:$A,0)),"")</f>
        <v/>
      </c>
      <c r="I21" s="26">
        <f>IFERROR(INDEX(Studies!$J:$J,MATCH(A21,Studies!$A:$A,0)),"")</f>
        <v/>
      </c>
      <c r="J21" s="26">
        <f>IFERROR(INDEX(Estimates!$C:$C,MATCH(A21,Estimates!$AB:$AB,0)),"")</f>
        <v/>
      </c>
      <c r="K21" s="26">
        <f>IFERROR(INDEX(Estimates!$I:$I,MATCH(A21,Estimates!$AB:$AB,0)),"")</f>
        <v/>
      </c>
      <c r="L21" s="26">
        <f>IFERROR(IF(INDEX(Estimates!$C:$C,MATCH(A21,Estimates!$AB:$AB,0))="Doxycycline","Yes","No"),"")</f>
        <v/>
      </c>
      <c r="M21" s="26">
        <f>IFERROR(INDEX(Estimates!$A:$A,MATCH(A21,Estimates!$AB:$AB,0)),"")</f>
        <v/>
      </c>
    </row>
    <row r="22">
      <c r="A22" s="23" t="inlineStr">
        <is>
          <t>S21</t>
        </is>
      </c>
      <c r="B22" s="19">
        <f>IFERROR(INDEX(Studies!$B:$B,MATCH(A22,Studies!$A:$A,0))&amp;" "&amp;INDEX(Studies!$C:$C,MATCH(A22,Studies!$A:$A,0)),"")</f>
        <v/>
      </c>
      <c r="C22" s="19">
        <f>IFERROR(INDEX(Estimates!$X:$X,MATCH(A22,Estimates!$AB:$AB,0)),"")</f>
        <v/>
      </c>
      <c r="D22" s="19">
        <f>IFERROR(INDEX(Estimates!$Y:$Y,MATCH(A22,Estimates!$AB:$AB,0)),"")</f>
        <v/>
      </c>
      <c r="E22" s="19">
        <f>IFERROR(EXP(C22),"")</f>
        <v/>
      </c>
      <c r="F22" s="19">
        <f>IFERROR(EXP(C22-1.96*D22),"")</f>
        <v/>
      </c>
      <c r="G22" s="19">
        <f>IFERROR(EXP(C22+1.96*D22),"")</f>
        <v/>
      </c>
      <c r="H22" s="19">
        <f>IFERROR(INDEX(Studies!$K:$K,MATCH(A22,Studies!$A:$A,0)),"")</f>
        <v/>
      </c>
      <c r="I22" s="19">
        <f>IFERROR(INDEX(Studies!$J:$J,MATCH(A22,Studies!$A:$A,0)),"")</f>
        <v/>
      </c>
      <c r="J22" s="19">
        <f>IFERROR(INDEX(Estimates!$C:$C,MATCH(A22,Estimates!$AB:$AB,0)),"")</f>
        <v/>
      </c>
      <c r="K22" s="19">
        <f>IFERROR(INDEX(Estimates!$I:$I,MATCH(A22,Estimates!$AB:$AB,0)),"")</f>
        <v/>
      </c>
      <c r="L22" s="19">
        <f>IFERROR(IF(INDEX(Estimates!$C:$C,MATCH(A22,Estimates!$AB:$AB,0))="Doxycycline","Yes","No"),"")</f>
        <v/>
      </c>
      <c r="M22" s="19">
        <f>IFERROR(INDEX(Estimates!$A:$A,MATCH(A22,Estimates!$AB:$AB,0)),"")</f>
        <v/>
      </c>
    </row>
    <row r="23">
      <c r="A23" s="23" t="inlineStr">
        <is>
          <t>S22</t>
        </is>
      </c>
      <c r="B23" s="19">
        <f>IFERROR(INDEX(Studies!$B:$B,MATCH(A23,Studies!$A:$A,0))&amp;" "&amp;INDEX(Studies!$C:$C,MATCH(A23,Studies!$A:$A,0)),"")</f>
        <v/>
      </c>
      <c r="C23" s="19">
        <f>IFERROR(INDEX(Estimates!$X:$X,MATCH(A23,Estimates!$AB:$AB,0)),"")</f>
        <v/>
      </c>
      <c r="D23" s="19">
        <f>IFERROR(INDEX(Estimates!$Y:$Y,MATCH(A23,Estimates!$AB:$AB,0)),"")</f>
        <v/>
      </c>
      <c r="E23" s="19">
        <f>IFERROR(EXP(C23),"")</f>
        <v/>
      </c>
      <c r="F23" s="19">
        <f>IFERROR(EXP(C23-1.96*D23),"")</f>
        <v/>
      </c>
      <c r="G23" s="19">
        <f>IFERROR(EXP(C23+1.96*D23),"")</f>
        <v/>
      </c>
      <c r="H23" s="19">
        <f>IFERROR(INDEX(Studies!$K:$K,MATCH(A23,Studies!$A:$A,0)),"")</f>
        <v/>
      </c>
      <c r="I23" s="19">
        <f>IFERROR(INDEX(Studies!$J:$J,MATCH(A23,Studies!$A:$A,0)),"")</f>
        <v/>
      </c>
      <c r="J23" s="19">
        <f>IFERROR(INDEX(Estimates!$C:$C,MATCH(A23,Estimates!$AB:$AB,0)),"")</f>
        <v/>
      </c>
      <c r="K23" s="19">
        <f>IFERROR(INDEX(Estimates!$I:$I,MATCH(A23,Estimates!$AB:$AB,0)),"")</f>
        <v/>
      </c>
      <c r="L23" s="19">
        <f>IFERROR(IF(INDEX(Estimates!$C:$C,MATCH(A23,Estimates!$AB:$AB,0))="Doxycycline","Yes","No"),"")</f>
        <v/>
      </c>
      <c r="M23" s="19">
        <f>IFERROR(INDEX(Estimates!$A:$A,MATCH(A23,Estimates!$AB:$AB,0)),"")</f>
        <v/>
      </c>
    </row>
    <row r="24">
      <c r="A24" s="23" t="inlineStr">
        <is>
          <t>S23</t>
        </is>
      </c>
      <c r="B24" s="19">
        <f>IFERROR(INDEX(Studies!$B:$B,MATCH(A24,Studies!$A:$A,0))&amp;" "&amp;INDEX(Studies!$C:$C,MATCH(A24,Studies!$A:$A,0)),"")</f>
        <v/>
      </c>
      <c r="C24" s="19">
        <f>IFERROR(INDEX(Estimates!$X:$X,MATCH(A24,Estimates!$AB:$AB,0)),"")</f>
        <v/>
      </c>
      <c r="D24" s="19">
        <f>IFERROR(INDEX(Estimates!$Y:$Y,MATCH(A24,Estimates!$AB:$AB,0)),"")</f>
        <v/>
      </c>
      <c r="E24" s="19">
        <f>IFERROR(EXP(C24),"")</f>
        <v/>
      </c>
      <c r="F24" s="19">
        <f>IFERROR(EXP(C24-1.96*D24),"")</f>
        <v/>
      </c>
      <c r="G24" s="19">
        <f>IFERROR(EXP(C24+1.96*D24),"")</f>
        <v/>
      </c>
      <c r="H24" s="19">
        <f>IFERROR(INDEX(Studies!$K:$K,MATCH(A24,Studies!$A:$A,0)),"")</f>
        <v/>
      </c>
      <c r="I24" s="19">
        <f>IFERROR(INDEX(Studies!$J:$J,MATCH(A24,Studies!$A:$A,0)),"")</f>
        <v/>
      </c>
      <c r="J24" s="19">
        <f>IFERROR(INDEX(Estimates!$C:$C,MATCH(A24,Estimates!$AB:$AB,0)),"")</f>
        <v/>
      </c>
      <c r="K24" s="19">
        <f>IFERROR(INDEX(Estimates!$I:$I,MATCH(A24,Estimates!$AB:$AB,0)),"")</f>
        <v/>
      </c>
      <c r="L24" s="19">
        <f>IFERROR(IF(INDEX(Estimates!$C:$C,MATCH(A24,Estimates!$AB:$AB,0))="Doxycycline","Yes","No"),"")</f>
        <v/>
      </c>
      <c r="M24" s="19">
        <f>IFERROR(INDEX(Estimates!$A:$A,MATCH(A24,Estimates!$AB:$AB,0)),"")</f>
        <v/>
      </c>
    </row>
    <row r="25">
      <c r="A25" s="23" t="inlineStr">
        <is>
          <t>S24</t>
        </is>
      </c>
      <c r="B25" s="19">
        <f>IFERROR(INDEX(Studies!$B:$B,MATCH(A25,Studies!$A:$A,0))&amp;" "&amp;INDEX(Studies!$C:$C,MATCH(A25,Studies!$A:$A,0)),"")</f>
        <v/>
      </c>
      <c r="C25" s="19">
        <f>IFERROR(INDEX(Estimates!$X:$X,MATCH(A25,Estimates!$AB:$AB,0)),"")</f>
        <v/>
      </c>
      <c r="D25" s="19">
        <f>IFERROR(INDEX(Estimates!$Y:$Y,MATCH(A25,Estimates!$AB:$AB,0)),"")</f>
        <v/>
      </c>
      <c r="E25" s="19">
        <f>IFERROR(EXP(C25),"")</f>
        <v/>
      </c>
      <c r="F25" s="19">
        <f>IFERROR(EXP(C25-1.96*D25),"")</f>
        <v/>
      </c>
      <c r="G25" s="19">
        <f>IFERROR(EXP(C25+1.96*D25),"")</f>
        <v/>
      </c>
      <c r="H25" s="19">
        <f>IFERROR(INDEX(Studies!$K:$K,MATCH(A25,Studies!$A:$A,0)),"")</f>
        <v/>
      </c>
      <c r="I25" s="19">
        <f>IFERROR(INDEX(Studies!$J:$J,MATCH(A25,Studies!$A:$A,0)),"")</f>
        <v/>
      </c>
      <c r="J25" s="19">
        <f>IFERROR(INDEX(Estimates!$C:$C,MATCH(A25,Estimates!$AB:$AB,0)),"")</f>
        <v/>
      </c>
      <c r="K25" s="19">
        <f>IFERROR(INDEX(Estimates!$I:$I,MATCH(A25,Estimates!$AB:$AB,0)),"")</f>
        <v/>
      </c>
      <c r="L25" s="19">
        <f>IFERROR(IF(INDEX(Estimates!$C:$C,MATCH(A25,Estimates!$AB:$AB,0))="Doxycycline","Yes","No"),"")</f>
        <v/>
      </c>
      <c r="M25" s="19">
        <f>IFERROR(INDEX(Estimates!$A:$A,MATCH(A25,Estimates!$AB:$AB,0)),"")</f>
        <v/>
      </c>
    </row>
    <row r="26">
      <c r="A26" s="23" t="inlineStr">
        <is>
          <t>S25</t>
        </is>
      </c>
      <c r="B26" s="19">
        <f>IFERROR(INDEX(Studies!$B:$B,MATCH(A26,Studies!$A:$A,0))&amp;" "&amp;INDEX(Studies!$C:$C,MATCH(A26,Studies!$A:$A,0)),"")</f>
        <v/>
      </c>
      <c r="C26" s="19">
        <f>IFERROR(INDEX(Estimates!$X:$X,MATCH(A26,Estimates!$AB:$AB,0)),"")</f>
        <v/>
      </c>
      <c r="D26" s="19">
        <f>IFERROR(INDEX(Estimates!$Y:$Y,MATCH(A26,Estimates!$AB:$AB,0)),"")</f>
        <v/>
      </c>
      <c r="E26" s="19">
        <f>IFERROR(EXP(C26),"")</f>
        <v/>
      </c>
      <c r="F26" s="19">
        <f>IFERROR(EXP(C26-1.96*D26),"")</f>
        <v/>
      </c>
      <c r="G26" s="19">
        <f>IFERROR(EXP(C26+1.96*D26),"")</f>
        <v/>
      </c>
      <c r="H26" s="19">
        <f>IFERROR(INDEX(Studies!$K:$K,MATCH(A26,Studies!$A:$A,0)),"")</f>
        <v/>
      </c>
      <c r="I26" s="19">
        <f>IFERROR(INDEX(Studies!$J:$J,MATCH(A26,Studies!$A:$A,0)),"")</f>
        <v/>
      </c>
      <c r="J26" s="19">
        <f>IFERROR(INDEX(Estimates!$C:$C,MATCH(A26,Estimates!$AB:$AB,0)),"")</f>
        <v/>
      </c>
      <c r="K26" s="19">
        <f>IFERROR(INDEX(Estimates!$I:$I,MATCH(A26,Estimates!$AB:$AB,0)),"")</f>
        <v/>
      </c>
      <c r="L26" s="19">
        <f>IFERROR(IF(INDEX(Estimates!$C:$C,MATCH(A26,Estimates!$AB:$AB,0))="Doxycycline","Yes","No"),"")</f>
        <v/>
      </c>
      <c r="M26" s="19">
        <f>IFERROR(INDEX(Estimates!$A:$A,MATCH(A26,Estimates!$AB:$AB,0)),"")</f>
        <v/>
      </c>
    </row>
    <row r="27">
      <c r="A27" s="23" t="inlineStr">
        <is>
          <t>S26</t>
        </is>
      </c>
      <c r="B27" s="19">
        <f>IFERROR(INDEX(Studies!$B:$B,MATCH(A27,Studies!$A:$A,0))&amp;" "&amp;INDEX(Studies!$C:$C,MATCH(A27,Studies!$A:$A,0)),"")</f>
        <v/>
      </c>
      <c r="C27" s="19">
        <f>IFERROR(INDEX(Estimates!$X:$X,MATCH(A27,Estimates!$AB:$AB,0)),"")</f>
        <v/>
      </c>
      <c r="D27" s="19">
        <f>IFERROR(INDEX(Estimates!$Y:$Y,MATCH(A27,Estimates!$AB:$AB,0)),"")</f>
        <v/>
      </c>
      <c r="E27" s="19">
        <f>IFERROR(EXP(C27),"")</f>
        <v/>
      </c>
      <c r="F27" s="19">
        <f>IFERROR(EXP(C27-1.96*D27),"")</f>
        <v/>
      </c>
      <c r="G27" s="19">
        <f>IFERROR(EXP(C27+1.96*D27),"")</f>
        <v/>
      </c>
      <c r="H27" s="19">
        <f>IFERROR(INDEX(Studies!$K:$K,MATCH(A27,Studies!$A:$A,0)),"")</f>
        <v/>
      </c>
      <c r="I27" s="19">
        <f>IFERROR(INDEX(Studies!$J:$J,MATCH(A27,Studies!$A:$A,0)),"")</f>
        <v/>
      </c>
      <c r="J27" s="19">
        <f>IFERROR(INDEX(Estimates!$C:$C,MATCH(A27,Estimates!$AB:$AB,0)),"")</f>
        <v/>
      </c>
      <c r="K27" s="19">
        <f>IFERROR(INDEX(Estimates!$I:$I,MATCH(A27,Estimates!$AB:$AB,0)),"")</f>
        <v/>
      </c>
      <c r="L27" s="19">
        <f>IFERROR(IF(INDEX(Estimates!$C:$C,MATCH(A27,Estimates!$AB:$AB,0))="Doxycycline","Yes","No"),"")</f>
        <v/>
      </c>
      <c r="M27" s="19">
        <f>IFERROR(INDEX(Estimates!$A:$A,MATCH(A27,Estimates!$AB:$AB,0)),"")</f>
        <v/>
      </c>
    </row>
    <row r="28">
      <c r="A28" s="23" t="inlineStr">
        <is>
          <t>S27</t>
        </is>
      </c>
      <c r="B28" s="19">
        <f>IFERROR(INDEX(Studies!$B:$B,MATCH(A28,Studies!$A:$A,0))&amp;" "&amp;INDEX(Studies!$C:$C,MATCH(A28,Studies!$A:$A,0)),"")</f>
        <v/>
      </c>
      <c r="C28" s="19">
        <f>IFERROR(INDEX(Estimates!$X:$X,MATCH(A28,Estimates!$AB:$AB,0)),"")</f>
        <v/>
      </c>
      <c r="D28" s="19">
        <f>IFERROR(INDEX(Estimates!$Y:$Y,MATCH(A28,Estimates!$AB:$AB,0)),"")</f>
        <v/>
      </c>
      <c r="E28" s="19">
        <f>IFERROR(EXP(C28),"")</f>
        <v/>
      </c>
      <c r="F28" s="19">
        <f>IFERROR(EXP(C28-1.96*D28),"")</f>
        <v/>
      </c>
      <c r="G28" s="19">
        <f>IFERROR(EXP(C28+1.96*D28),"")</f>
        <v/>
      </c>
      <c r="H28" s="19">
        <f>IFERROR(INDEX(Studies!$K:$K,MATCH(A28,Studies!$A:$A,0)),"")</f>
        <v/>
      </c>
      <c r="I28" s="19">
        <f>IFERROR(INDEX(Studies!$J:$J,MATCH(A28,Studies!$A:$A,0)),"")</f>
        <v/>
      </c>
      <c r="J28" s="19">
        <f>IFERROR(INDEX(Estimates!$C:$C,MATCH(A28,Estimates!$AB:$AB,0)),"")</f>
        <v/>
      </c>
      <c r="K28" s="19">
        <f>IFERROR(INDEX(Estimates!$I:$I,MATCH(A28,Estimates!$AB:$AB,0)),"")</f>
        <v/>
      </c>
      <c r="L28" s="19">
        <f>IFERROR(IF(INDEX(Estimates!$C:$C,MATCH(A28,Estimates!$AB:$AB,0))="Doxycycline","Yes","No"),"")</f>
        <v/>
      </c>
      <c r="M28" s="19">
        <f>IFERROR(INDEX(Estimates!$A:$A,MATCH(A28,Estimates!$AB:$AB,0)),"")</f>
        <v/>
      </c>
    </row>
    <row r="29">
      <c r="A29" s="23" t="inlineStr">
        <is>
          <t>S28</t>
        </is>
      </c>
      <c r="B29" s="19">
        <f>IFERROR(INDEX(Studies!$B:$B,MATCH(A29,Studies!$A:$A,0))&amp;" "&amp;INDEX(Studies!$C:$C,MATCH(A29,Studies!$A:$A,0)),"")</f>
        <v/>
      </c>
      <c r="C29" s="19">
        <f>IFERROR(INDEX(Estimates!$X:$X,MATCH(A29,Estimates!$AB:$AB,0)),"")</f>
        <v/>
      </c>
      <c r="D29" s="19">
        <f>IFERROR(INDEX(Estimates!$Y:$Y,MATCH(A29,Estimates!$AB:$AB,0)),"")</f>
        <v/>
      </c>
      <c r="E29" s="19">
        <f>IFERROR(EXP(C29),"")</f>
        <v/>
      </c>
      <c r="F29" s="19">
        <f>IFERROR(EXP(C29-1.96*D29),"")</f>
        <v/>
      </c>
      <c r="G29" s="19">
        <f>IFERROR(EXP(C29+1.96*D29),"")</f>
        <v/>
      </c>
      <c r="H29" s="19">
        <f>IFERROR(INDEX(Studies!$K:$K,MATCH(A29,Studies!$A:$A,0)),"")</f>
        <v/>
      </c>
      <c r="I29" s="19">
        <f>IFERROR(INDEX(Studies!$J:$J,MATCH(A29,Studies!$A:$A,0)),"")</f>
        <v/>
      </c>
      <c r="J29" s="19">
        <f>IFERROR(INDEX(Estimates!$C:$C,MATCH(A29,Estimates!$AB:$AB,0)),"")</f>
        <v/>
      </c>
      <c r="K29" s="19">
        <f>IFERROR(INDEX(Estimates!$I:$I,MATCH(A29,Estimates!$AB:$AB,0)),"")</f>
        <v/>
      </c>
      <c r="L29" s="19">
        <f>IFERROR(IF(INDEX(Estimates!$C:$C,MATCH(A29,Estimates!$AB:$AB,0))="Doxycycline","Yes","No"),"")</f>
        <v/>
      </c>
      <c r="M29" s="19">
        <f>IFERROR(INDEX(Estimates!$A:$A,MATCH(A29,Estimates!$AB:$AB,0)),"")</f>
        <v/>
      </c>
    </row>
    <row r="30">
      <c r="A30" s="23" t="inlineStr">
        <is>
          <t>S29</t>
        </is>
      </c>
      <c r="B30" s="19">
        <f>IFERROR(INDEX(Studies!$B:$B,MATCH(A30,Studies!$A:$A,0))&amp;" "&amp;INDEX(Studies!$C:$C,MATCH(A30,Studies!$A:$A,0)),"")</f>
        <v/>
      </c>
      <c r="C30" s="19">
        <f>IFERROR(INDEX(Estimates!$X:$X,MATCH(A30,Estimates!$AB:$AB,0)),"")</f>
        <v/>
      </c>
      <c r="D30" s="19">
        <f>IFERROR(INDEX(Estimates!$Y:$Y,MATCH(A30,Estimates!$AB:$AB,0)),"")</f>
        <v/>
      </c>
      <c r="E30" s="19">
        <f>IFERROR(EXP(C30),"")</f>
        <v/>
      </c>
      <c r="F30" s="19">
        <f>IFERROR(EXP(C30-1.96*D30),"")</f>
        <v/>
      </c>
      <c r="G30" s="19">
        <f>IFERROR(EXP(C30+1.96*D30),"")</f>
        <v/>
      </c>
      <c r="H30" s="19">
        <f>IFERROR(INDEX(Studies!$K:$K,MATCH(A30,Studies!$A:$A,0)),"")</f>
        <v/>
      </c>
      <c r="I30" s="19">
        <f>IFERROR(INDEX(Studies!$J:$J,MATCH(A30,Studies!$A:$A,0)),"")</f>
        <v/>
      </c>
      <c r="J30" s="19">
        <f>IFERROR(INDEX(Estimates!$C:$C,MATCH(A30,Estimates!$AB:$AB,0)),"")</f>
        <v/>
      </c>
      <c r="K30" s="19">
        <f>IFERROR(INDEX(Estimates!$I:$I,MATCH(A30,Estimates!$AB:$AB,0)),"")</f>
        <v/>
      </c>
      <c r="L30" s="19">
        <f>IFERROR(IF(INDEX(Estimates!$C:$C,MATCH(A30,Estimates!$AB:$AB,0))="Doxycycline","Yes","No"),"")</f>
        <v/>
      </c>
      <c r="M30" s="19">
        <f>IFERROR(INDEX(Estimates!$A:$A,MATCH(A30,Estimates!$AB:$AB,0)),"")</f>
        <v/>
      </c>
    </row>
    <row r="31">
      <c r="A31" s="23" t="inlineStr">
        <is>
          <t>S30</t>
        </is>
      </c>
      <c r="B31" s="19">
        <f>IFERROR(INDEX(Studies!$B:$B,MATCH(A31,Studies!$A:$A,0))&amp;" "&amp;INDEX(Studies!$C:$C,MATCH(A31,Studies!$A:$A,0)),"")</f>
        <v/>
      </c>
      <c r="C31" s="19">
        <f>IFERROR(INDEX(Estimates!$X:$X,MATCH(A31,Estimates!$AB:$AB,0)),"")</f>
        <v/>
      </c>
      <c r="D31" s="19">
        <f>IFERROR(INDEX(Estimates!$Y:$Y,MATCH(A31,Estimates!$AB:$AB,0)),"")</f>
        <v/>
      </c>
      <c r="E31" s="19">
        <f>IFERROR(EXP(C31),"")</f>
        <v/>
      </c>
      <c r="F31" s="19">
        <f>IFERROR(EXP(C31-1.96*D31),"")</f>
        <v/>
      </c>
      <c r="G31" s="19">
        <f>IFERROR(EXP(C31+1.96*D31),"")</f>
        <v/>
      </c>
      <c r="H31" s="19">
        <f>IFERROR(INDEX(Studies!$K:$K,MATCH(A31,Studies!$A:$A,0)),"")</f>
        <v/>
      </c>
      <c r="I31" s="19">
        <f>IFERROR(INDEX(Studies!$J:$J,MATCH(A31,Studies!$A:$A,0)),"")</f>
        <v/>
      </c>
      <c r="J31" s="19">
        <f>IFERROR(INDEX(Estimates!$C:$C,MATCH(A31,Estimates!$AB:$AB,0)),"")</f>
        <v/>
      </c>
      <c r="K31" s="19">
        <f>IFERROR(INDEX(Estimates!$I:$I,MATCH(A31,Estimates!$AB:$AB,0)),"")</f>
        <v/>
      </c>
      <c r="L31" s="19">
        <f>IFERROR(IF(INDEX(Estimates!$C:$C,MATCH(A31,Estimates!$AB:$AB,0))="Doxycycline","Yes","No"),"")</f>
        <v/>
      </c>
      <c r="M31" s="19">
        <f>IFERROR(INDEX(Estimates!$A:$A,MATCH(A31,Estimates!$AB:$AB,0)),"")</f>
        <v/>
      </c>
    </row>
    <row r="32">
      <c r="A32" s="23" t="inlineStr">
        <is>
          <t>S31</t>
        </is>
      </c>
      <c r="B32" s="19">
        <f>IFERROR(INDEX(Studies!$B:$B,MATCH(A32,Studies!$A:$A,0))&amp;" "&amp;INDEX(Studies!$C:$C,MATCH(A32,Studies!$A:$A,0)),"")</f>
        <v/>
      </c>
      <c r="C32" s="19">
        <f>IFERROR(INDEX(Estimates!$X:$X,MATCH(A32,Estimates!$AB:$AB,0)),"")</f>
        <v/>
      </c>
      <c r="D32" s="19">
        <f>IFERROR(INDEX(Estimates!$Y:$Y,MATCH(A32,Estimates!$AB:$AB,0)),"")</f>
        <v/>
      </c>
      <c r="E32" s="19">
        <f>IFERROR(EXP(C32),"")</f>
        <v/>
      </c>
      <c r="F32" s="19">
        <f>IFERROR(EXP(C32-1.96*D32),"")</f>
        <v/>
      </c>
      <c r="G32" s="19">
        <f>IFERROR(EXP(C32+1.96*D32),"")</f>
        <v/>
      </c>
      <c r="H32" s="19">
        <f>IFERROR(INDEX(Studies!$K:$K,MATCH(A32,Studies!$A:$A,0)),"")</f>
        <v/>
      </c>
      <c r="I32" s="19">
        <f>IFERROR(INDEX(Studies!$J:$J,MATCH(A32,Studies!$A:$A,0)),"")</f>
        <v/>
      </c>
      <c r="J32" s="19">
        <f>IFERROR(INDEX(Estimates!$C:$C,MATCH(A32,Estimates!$AB:$AB,0)),"")</f>
        <v/>
      </c>
      <c r="K32" s="19">
        <f>IFERROR(INDEX(Estimates!$I:$I,MATCH(A32,Estimates!$AB:$AB,0)),"")</f>
        <v/>
      </c>
      <c r="L32" s="19">
        <f>IFERROR(IF(INDEX(Estimates!$C:$C,MATCH(A32,Estimates!$AB:$AB,0))="Doxycycline","Yes","No"),"")</f>
        <v/>
      </c>
      <c r="M32" s="19">
        <f>IFERROR(INDEX(Estimates!$A:$A,MATCH(A32,Estimates!$AB:$AB,0)),"")</f>
        <v/>
      </c>
    </row>
    <row r="33">
      <c r="A33" s="23" t="inlineStr">
        <is>
          <t>S32</t>
        </is>
      </c>
      <c r="B33" s="19">
        <f>IFERROR(INDEX(Studies!$B:$B,MATCH(A33,Studies!$A:$A,0))&amp;" "&amp;INDEX(Studies!$C:$C,MATCH(A33,Studies!$A:$A,0)),"")</f>
        <v/>
      </c>
      <c r="C33" s="19">
        <f>IFERROR(INDEX(Estimates!$X:$X,MATCH(A33,Estimates!$AB:$AB,0)),"")</f>
        <v/>
      </c>
      <c r="D33" s="19">
        <f>IFERROR(INDEX(Estimates!$Y:$Y,MATCH(A33,Estimates!$AB:$AB,0)),"")</f>
        <v/>
      </c>
      <c r="E33" s="19">
        <f>IFERROR(EXP(C33),"")</f>
        <v/>
      </c>
      <c r="F33" s="19">
        <f>IFERROR(EXP(C33-1.96*D33),"")</f>
        <v/>
      </c>
      <c r="G33" s="19">
        <f>IFERROR(EXP(C33+1.96*D33),"")</f>
        <v/>
      </c>
      <c r="H33" s="19">
        <f>IFERROR(INDEX(Studies!$K:$K,MATCH(A33,Studies!$A:$A,0)),"")</f>
        <v/>
      </c>
      <c r="I33" s="19">
        <f>IFERROR(INDEX(Studies!$J:$J,MATCH(A33,Studies!$A:$A,0)),"")</f>
        <v/>
      </c>
      <c r="J33" s="19">
        <f>IFERROR(INDEX(Estimates!$C:$C,MATCH(A33,Estimates!$AB:$AB,0)),"")</f>
        <v/>
      </c>
      <c r="K33" s="19">
        <f>IFERROR(INDEX(Estimates!$I:$I,MATCH(A33,Estimates!$AB:$AB,0)),"")</f>
        <v/>
      </c>
      <c r="L33" s="19">
        <f>IFERROR(IF(INDEX(Estimates!$C:$C,MATCH(A33,Estimates!$AB:$AB,0))="Doxycycline","Yes","No"),"")</f>
        <v/>
      </c>
      <c r="M33" s="19">
        <f>IFERROR(INDEX(Estimates!$A:$A,MATCH(A33,Estimates!$AB:$AB,0)),"")</f>
        <v/>
      </c>
    </row>
    <row r="34">
      <c r="A34" s="23" t="inlineStr">
        <is>
          <t>S33</t>
        </is>
      </c>
      <c r="B34" s="19">
        <f>IFERROR(INDEX(Studies!$B:$B,MATCH(A34,Studies!$A:$A,0))&amp;" "&amp;INDEX(Studies!$C:$C,MATCH(A34,Studies!$A:$A,0)),"")</f>
        <v/>
      </c>
      <c r="C34" s="19">
        <f>IFERROR(INDEX(Estimates!$X:$X,MATCH(A34,Estimates!$AB:$AB,0)),"")</f>
        <v/>
      </c>
      <c r="D34" s="19">
        <f>IFERROR(INDEX(Estimates!$Y:$Y,MATCH(A34,Estimates!$AB:$AB,0)),"")</f>
        <v/>
      </c>
      <c r="E34" s="19">
        <f>IFERROR(EXP(C34),"")</f>
        <v/>
      </c>
      <c r="F34" s="19">
        <f>IFERROR(EXP(C34-1.96*D34),"")</f>
        <v/>
      </c>
      <c r="G34" s="19">
        <f>IFERROR(EXP(C34+1.96*D34),"")</f>
        <v/>
      </c>
      <c r="H34" s="19">
        <f>IFERROR(INDEX(Studies!$K:$K,MATCH(A34,Studies!$A:$A,0)),"")</f>
        <v/>
      </c>
      <c r="I34" s="19">
        <f>IFERROR(INDEX(Studies!$J:$J,MATCH(A34,Studies!$A:$A,0)),"")</f>
        <v/>
      </c>
      <c r="J34" s="19">
        <f>IFERROR(INDEX(Estimates!$C:$C,MATCH(A34,Estimates!$AB:$AB,0)),"")</f>
        <v/>
      </c>
      <c r="K34" s="19">
        <f>IFERROR(INDEX(Estimates!$I:$I,MATCH(A34,Estimates!$AB:$AB,0)),"")</f>
        <v/>
      </c>
      <c r="L34" s="19">
        <f>IFERROR(IF(INDEX(Estimates!$C:$C,MATCH(A34,Estimates!$AB:$AB,0))="Doxycycline","Yes","No"),"")</f>
        <v/>
      </c>
      <c r="M34" s="19">
        <f>IFERROR(INDEX(Estimates!$A:$A,MATCH(A34,Estimates!$AB:$AB,0)),"")</f>
        <v/>
      </c>
    </row>
    <row r="35">
      <c r="A35" s="23" t="inlineStr">
        <is>
          <t>S34</t>
        </is>
      </c>
      <c r="B35" s="19">
        <f>IFERROR(INDEX(Studies!$B:$B,MATCH(A35,Studies!$A:$A,0))&amp;" "&amp;INDEX(Studies!$C:$C,MATCH(A35,Studies!$A:$A,0)),"")</f>
        <v/>
      </c>
      <c r="C35" s="19">
        <f>IFERROR(INDEX(Estimates!$X:$X,MATCH(A35,Estimates!$AB:$AB,0)),"")</f>
        <v/>
      </c>
      <c r="D35" s="19">
        <f>IFERROR(INDEX(Estimates!$Y:$Y,MATCH(A35,Estimates!$AB:$AB,0)),"")</f>
        <v/>
      </c>
      <c r="E35" s="19">
        <f>IFERROR(EXP(C35),"")</f>
        <v/>
      </c>
      <c r="F35" s="19">
        <f>IFERROR(EXP(C35-1.96*D35),"")</f>
        <v/>
      </c>
      <c r="G35" s="19">
        <f>IFERROR(EXP(C35+1.96*D35),"")</f>
        <v/>
      </c>
      <c r="H35" s="19">
        <f>IFERROR(INDEX(Studies!$K:$K,MATCH(A35,Studies!$A:$A,0)),"")</f>
        <v/>
      </c>
      <c r="I35" s="19">
        <f>IFERROR(INDEX(Studies!$J:$J,MATCH(A35,Studies!$A:$A,0)),"")</f>
        <v/>
      </c>
      <c r="J35" s="19">
        <f>IFERROR(INDEX(Estimates!$C:$C,MATCH(A35,Estimates!$AB:$AB,0)),"")</f>
        <v/>
      </c>
      <c r="K35" s="19">
        <f>IFERROR(INDEX(Estimates!$I:$I,MATCH(A35,Estimates!$AB:$AB,0)),"")</f>
        <v/>
      </c>
      <c r="L35" s="19">
        <f>IFERROR(IF(INDEX(Estimates!$C:$C,MATCH(A35,Estimates!$AB:$AB,0))="Doxycycline","Yes","No"),"")</f>
        <v/>
      </c>
      <c r="M35" s="19">
        <f>IFERROR(INDEX(Estimates!$A:$A,MATCH(A35,Estimates!$AB:$AB,0)),"")</f>
        <v/>
      </c>
    </row>
    <row r="36">
      <c r="A36" s="23" t="inlineStr">
        <is>
          <t>S35</t>
        </is>
      </c>
      <c r="B36" s="19">
        <f>IFERROR(INDEX(Studies!$B:$B,MATCH(A36,Studies!$A:$A,0))&amp;" "&amp;INDEX(Studies!$C:$C,MATCH(A36,Studies!$A:$A,0)),"")</f>
        <v/>
      </c>
      <c r="C36" s="19">
        <f>IFERROR(INDEX(Estimates!$X:$X,MATCH(A36,Estimates!$AB:$AB,0)),"")</f>
        <v/>
      </c>
      <c r="D36" s="19">
        <f>IFERROR(INDEX(Estimates!$Y:$Y,MATCH(A36,Estimates!$AB:$AB,0)),"")</f>
        <v/>
      </c>
      <c r="E36" s="19">
        <f>IFERROR(EXP(C36),"")</f>
        <v/>
      </c>
      <c r="F36" s="19">
        <f>IFERROR(EXP(C36-1.96*D36),"")</f>
        <v/>
      </c>
      <c r="G36" s="19">
        <f>IFERROR(EXP(C36+1.96*D36),"")</f>
        <v/>
      </c>
      <c r="H36" s="19">
        <f>IFERROR(INDEX(Studies!$K:$K,MATCH(A36,Studies!$A:$A,0)),"")</f>
        <v/>
      </c>
      <c r="I36" s="19">
        <f>IFERROR(INDEX(Studies!$J:$J,MATCH(A36,Studies!$A:$A,0)),"")</f>
        <v/>
      </c>
      <c r="J36" s="19">
        <f>IFERROR(INDEX(Estimates!$C:$C,MATCH(A36,Estimates!$AB:$AB,0)),"")</f>
        <v/>
      </c>
      <c r="K36" s="19">
        <f>IFERROR(INDEX(Estimates!$I:$I,MATCH(A36,Estimates!$AB:$AB,0)),"")</f>
        <v/>
      </c>
      <c r="L36" s="19">
        <f>IFERROR(IF(INDEX(Estimates!$C:$C,MATCH(A36,Estimates!$AB:$AB,0))="Doxycycline","Yes","No"),"")</f>
        <v/>
      </c>
      <c r="M36" s="19">
        <f>IFERROR(INDEX(Estimates!$A:$A,MATCH(A36,Estimates!$AB:$AB,0)),"")</f>
        <v/>
      </c>
    </row>
    <row r="37">
      <c r="A37" s="23" t="inlineStr">
        <is>
          <t>S36</t>
        </is>
      </c>
      <c r="B37" s="19">
        <f>IFERROR(INDEX(Studies!$B:$B,MATCH(A37,Studies!$A:$A,0))&amp;" "&amp;INDEX(Studies!$C:$C,MATCH(A37,Studies!$A:$A,0)),"")</f>
        <v/>
      </c>
      <c r="C37" s="19">
        <f>IFERROR(INDEX(Estimates!$X:$X,MATCH(A37,Estimates!$AB:$AB,0)),"")</f>
        <v/>
      </c>
      <c r="D37" s="19">
        <f>IFERROR(INDEX(Estimates!$Y:$Y,MATCH(A37,Estimates!$AB:$AB,0)),"")</f>
        <v/>
      </c>
      <c r="E37" s="19">
        <f>IFERROR(EXP(C37),"")</f>
        <v/>
      </c>
      <c r="F37" s="19">
        <f>IFERROR(EXP(C37-1.96*D37),"")</f>
        <v/>
      </c>
      <c r="G37" s="19">
        <f>IFERROR(EXP(C37+1.96*D37),"")</f>
        <v/>
      </c>
      <c r="H37" s="19">
        <f>IFERROR(INDEX(Studies!$K:$K,MATCH(A37,Studies!$A:$A,0)),"")</f>
        <v/>
      </c>
      <c r="I37" s="19">
        <f>IFERROR(INDEX(Studies!$J:$J,MATCH(A37,Studies!$A:$A,0)),"")</f>
        <v/>
      </c>
      <c r="J37" s="19">
        <f>IFERROR(INDEX(Estimates!$C:$C,MATCH(A37,Estimates!$AB:$AB,0)),"")</f>
        <v/>
      </c>
      <c r="K37" s="19">
        <f>IFERROR(INDEX(Estimates!$I:$I,MATCH(A37,Estimates!$AB:$AB,0)),"")</f>
        <v/>
      </c>
      <c r="L37" s="19">
        <f>IFERROR(IF(INDEX(Estimates!$C:$C,MATCH(A37,Estimates!$AB:$AB,0))="Doxycycline","Yes","No"),"")</f>
        <v/>
      </c>
      <c r="M37" s="19">
        <f>IFERROR(INDEX(Estimates!$A:$A,MATCH(A37,Estimates!$AB:$AB,0)),"")</f>
        <v/>
      </c>
    </row>
    <row r="38">
      <c r="A38" s="23" t="inlineStr">
        <is>
          <t>S37</t>
        </is>
      </c>
      <c r="B38" s="19">
        <f>IFERROR(INDEX(Studies!$B:$B,MATCH(A38,Studies!$A:$A,0))&amp;" "&amp;INDEX(Studies!$C:$C,MATCH(A38,Studies!$A:$A,0)),"")</f>
        <v/>
      </c>
      <c r="C38" s="19">
        <f>IFERROR(INDEX(Estimates!$X:$X,MATCH(A38,Estimates!$AB:$AB,0)),"")</f>
        <v/>
      </c>
      <c r="D38" s="19">
        <f>IFERROR(INDEX(Estimates!$Y:$Y,MATCH(A38,Estimates!$AB:$AB,0)),"")</f>
        <v/>
      </c>
      <c r="E38" s="19">
        <f>IFERROR(EXP(C38),"")</f>
        <v/>
      </c>
      <c r="F38" s="19">
        <f>IFERROR(EXP(C38-1.96*D38),"")</f>
        <v/>
      </c>
      <c r="G38" s="19">
        <f>IFERROR(EXP(C38+1.96*D38),"")</f>
        <v/>
      </c>
      <c r="H38" s="19">
        <f>IFERROR(INDEX(Studies!$K:$K,MATCH(A38,Studies!$A:$A,0)),"")</f>
        <v/>
      </c>
      <c r="I38" s="19">
        <f>IFERROR(INDEX(Studies!$J:$J,MATCH(A38,Studies!$A:$A,0)),"")</f>
        <v/>
      </c>
      <c r="J38" s="19">
        <f>IFERROR(INDEX(Estimates!$C:$C,MATCH(A38,Estimates!$AB:$AB,0)),"")</f>
        <v/>
      </c>
      <c r="K38" s="19">
        <f>IFERROR(INDEX(Estimates!$I:$I,MATCH(A38,Estimates!$AB:$AB,0)),"")</f>
        <v/>
      </c>
      <c r="L38" s="19">
        <f>IFERROR(IF(INDEX(Estimates!$C:$C,MATCH(A38,Estimates!$AB:$AB,0))="Doxycycline","Yes","No"),"")</f>
        <v/>
      </c>
      <c r="M38" s="19">
        <f>IFERROR(INDEX(Estimates!$A:$A,MATCH(A38,Estimates!$AB:$AB,0)),"")</f>
        <v/>
      </c>
    </row>
    <row r="39">
      <c r="A39" s="23" t="inlineStr">
        <is>
          <t>S38</t>
        </is>
      </c>
      <c r="B39" s="19">
        <f>IFERROR(INDEX(Studies!$B:$B,MATCH(A39,Studies!$A:$A,0))&amp;" "&amp;INDEX(Studies!$C:$C,MATCH(A39,Studies!$A:$A,0)),"")</f>
        <v/>
      </c>
      <c r="C39" s="19">
        <f>IFERROR(INDEX(Estimates!$X:$X,MATCH(A39,Estimates!$AB:$AB,0)),"")</f>
        <v/>
      </c>
      <c r="D39" s="19">
        <f>IFERROR(INDEX(Estimates!$Y:$Y,MATCH(A39,Estimates!$AB:$AB,0)),"")</f>
        <v/>
      </c>
      <c r="E39" s="19">
        <f>IFERROR(EXP(C39),"")</f>
        <v/>
      </c>
      <c r="F39" s="19">
        <f>IFERROR(EXP(C39-1.96*D39),"")</f>
        <v/>
      </c>
      <c r="G39" s="19">
        <f>IFERROR(EXP(C39+1.96*D39),"")</f>
        <v/>
      </c>
      <c r="H39" s="19">
        <f>IFERROR(INDEX(Studies!$K:$K,MATCH(A39,Studies!$A:$A,0)),"")</f>
        <v/>
      </c>
      <c r="I39" s="19">
        <f>IFERROR(INDEX(Studies!$J:$J,MATCH(A39,Studies!$A:$A,0)),"")</f>
        <v/>
      </c>
      <c r="J39" s="19">
        <f>IFERROR(INDEX(Estimates!$C:$C,MATCH(A39,Estimates!$AB:$AB,0)),"")</f>
        <v/>
      </c>
      <c r="K39" s="19">
        <f>IFERROR(INDEX(Estimates!$I:$I,MATCH(A39,Estimates!$AB:$AB,0)),"")</f>
        <v/>
      </c>
      <c r="L39" s="19">
        <f>IFERROR(IF(INDEX(Estimates!$C:$C,MATCH(A39,Estimates!$AB:$AB,0))="Doxycycline","Yes","No"),"")</f>
        <v/>
      </c>
      <c r="M39" s="19">
        <f>IFERROR(INDEX(Estimates!$A:$A,MATCH(A39,Estimates!$AB:$AB,0)),"")</f>
        <v/>
      </c>
    </row>
    <row r="40">
      <c r="A40" s="23" t="inlineStr">
        <is>
          <t>S39</t>
        </is>
      </c>
      <c r="B40" s="19">
        <f>IFERROR(INDEX(Studies!$B:$B,MATCH(A40,Studies!$A:$A,0))&amp;" "&amp;INDEX(Studies!$C:$C,MATCH(A40,Studies!$A:$A,0)),"")</f>
        <v/>
      </c>
      <c r="C40" s="19">
        <f>IFERROR(INDEX(Estimates!$X:$X,MATCH(A40,Estimates!$AB:$AB,0)),"")</f>
        <v/>
      </c>
      <c r="D40" s="19">
        <f>IFERROR(INDEX(Estimates!$Y:$Y,MATCH(A40,Estimates!$AB:$AB,0)),"")</f>
        <v/>
      </c>
      <c r="E40" s="19">
        <f>IFERROR(EXP(C40),"")</f>
        <v/>
      </c>
      <c r="F40" s="19">
        <f>IFERROR(EXP(C40-1.96*D40),"")</f>
        <v/>
      </c>
      <c r="G40" s="19">
        <f>IFERROR(EXP(C40+1.96*D40),"")</f>
        <v/>
      </c>
      <c r="H40" s="19">
        <f>IFERROR(INDEX(Studies!$K:$K,MATCH(A40,Studies!$A:$A,0)),"")</f>
        <v/>
      </c>
      <c r="I40" s="19">
        <f>IFERROR(INDEX(Studies!$J:$J,MATCH(A40,Studies!$A:$A,0)),"")</f>
        <v/>
      </c>
      <c r="J40" s="19">
        <f>IFERROR(INDEX(Estimates!$C:$C,MATCH(A40,Estimates!$AB:$AB,0)),"")</f>
        <v/>
      </c>
      <c r="K40" s="19">
        <f>IFERROR(INDEX(Estimates!$I:$I,MATCH(A40,Estimates!$AB:$AB,0)),"")</f>
        <v/>
      </c>
      <c r="L40" s="19">
        <f>IFERROR(IF(INDEX(Estimates!$C:$C,MATCH(A40,Estimates!$AB:$AB,0))="Doxycycline","Yes","No"),"")</f>
        <v/>
      </c>
      <c r="M40" s="19">
        <f>IFERROR(INDEX(Estimates!$A:$A,MATCH(A40,Estimates!$AB:$AB,0)),"")</f>
        <v/>
      </c>
    </row>
    <row r="41">
      <c r="A41" s="23" t="inlineStr">
        <is>
          <t>S40</t>
        </is>
      </c>
      <c r="B41" s="19">
        <f>IFERROR(INDEX(Studies!$B:$B,MATCH(A41,Studies!$A:$A,0))&amp;" "&amp;INDEX(Studies!$C:$C,MATCH(A41,Studies!$A:$A,0)),"")</f>
        <v/>
      </c>
      <c r="C41" s="19">
        <f>IFERROR(INDEX(Estimates!$X:$X,MATCH(A41,Estimates!$AB:$AB,0)),"")</f>
        <v/>
      </c>
      <c r="D41" s="19">
        <f>IFERROR(INDEX(Estimates!$Y:$Y,MATCH(A41,Estimates!$AB:$AB,0)),"")</f>
        <v/>
      </c>
      <c r="E41" s="19">
        <f>IFERROR(EXP(C41),"")</f>
        <v/>
      </c>
      <c r="F41" s="19">
        <f>IFERROR(EXP(C41-1.96*D41),"")</f>
        <v/>
      </c>
      <c r="G41" s="19">
        <f>IFERROR(EXP(C41+1.96*D41),"")</f>
        <v/>
      </c>
      <c r="H41" s="19">
        <f>IFERROR(INDEX(Studies!$K:$K,MATCH(A41,Studies!$A:$A,0)),"")</f>
        <v/>
      </c>
      <c r="I41" s="19">
        <f>IFERROR(INDEX(Studies!$J:$J,MATCH(A41,Studies!$A:$A,0)),"")</f>
        <v/>
      </c>
      <c r="J41" s="19">
        <f>IFERROR(INDEX(Estimates!$C:$C,MATCH(A41,Estimates!$AB:$AB,0)),"")</f>
        <v/>
      </c>
      <c r="K41" s="19">
        <f>IFERROR(INDEX(Estimates!$I:$I,MATCH(A41,Estimates!$AB:$AB,0)),"")</f>
        <v/>
      </c>
      <c r="L41" s="19">
        <f>IFERROR(IF(INDEX(Estimates!$C:$C,MATCH(A41,Estimates!$AB:$AB,0))="Doxycycline","Yes","No"),"")</f>
        <v/>
      </c>
      <c r="M41" s="19">
        <f>IFERROR(INDEX(Estimates!$A:$A,MATCH(A41,Estimates!$AB:$AB,0)),"")</f>
        <v/>
      </c>
    </row>
    <row r="42">
      <c r="A42" s="23" t="inlineStr">
        <is>
          <t>S41</t>
        </is>
      </c>
      <c r="B42" s="19">
        <f>IFERROR(INDEX(Studies!$B:$B,MATCH(A42,Studies!$A:$A,0))&amp;" "&amp;INDEX(Studies!$C:$C,MATCH(A42,Studies!$A:$A,0)),"")</f>
        <v/>
      </c>
      <c r="C42" s="19">
        <f>IFERROR(INDEX(Estimates!$X:$X,MATCH(A42,Estimates!$AB:$AB,0)),"")</f>
        <v/>
      </c>
      <c r="D42" s="19">
        <f>IFERROR(INDEX(Estimates!$Y:$Y,MATCH(A42,Estimates!$AB:$AB,0)),"")</f>
        <v/>
      </c>
      <c r="E42" s="19">
        <f>IFERROR(EXP(C42),"")</f>
        <v/>
      </c>
      <c r="F42" s="19">
        <f>IFERROR(EXP(C42-1.96*D42),"")</f>
        <v/>
      </c>
      <c r="G42" s="19">
        <f>IFERROR(EXP(C42+1.96*D42),"")</f>
        <v/>
      </c>
      <c r="H42" s="19">
        <f>IFERROR(INDEX(Studies!$K:$K,MATCH(A42,Studies!$A:$A,0)),"")</f>
        <v/>
      </c>
      <c r="I42" s="19">
        <f>IFERROR(INDEX(Studies!$J:$J,MATCH(A42,Studies!$A:$A,0)),"")</f>
        <v/>
      </c>
      <c r="J42" s="19">
        <f>IFERROR(INDEX(Estimates!$C:$C,MATCH(A42,Estimates!$AB:$AB,0)),"")</f>
        <v/>
      </c>
      <c r="K42" s="19">
        <f>IFERROR(INDEX(Estimates!$I:$I,MATCH(A42,Estimates!$AB:$AB,0)),"")</f>
        <v/>
      </c>
      <c r="L42" s="19">
        <f>IFERROR(IF(INDEX(Estimates!$C:$C,MATCH(A42,Estimates!$AB:$AB,0))="Doxycycline","Yes","No"),"")</f>
        <v/>
      </c>
      <c r="M42" s="19">
        <f>IFERROR(INDEX(Estimates!$A:$A,MATCH(A42,Estimates!$AB:$AB,0)),"")</f>
        <v/>
      </c>
    </row>
    <row r="43">
      <c r="A43" s="23" t="inlineStr">
        <is>
          <t>S42</t>
        </is>
      </c>
      <c r="B43" s="19">
        <f>IFERROR(INDEX(Studies!$B:$B,MATCH(A43,Studies!$A:$A,0))&amp;" "&amp;INDEX(Studies!$C:$C,MATCH(A43,Studies!$A:$A,0)),"")</f>
        <v/>
      </c>
      <c r="C43" s="19">
        <f>IFERROR(INDEX(Estimates!$X:$X,MATCH(A43,Estimates!$AB:$AB,0)),"")</f>
        <v/>
      </c>
      <c r="D43" s="19">
        <f>IFERROR(INDEX(Estimates!$Y:$Y,MATCH(A43,Estimates!$AB:$AB,0)),"")</f>
        <v/>
      </c>
      <c r="E43" s="19">
        <f>IFERROR(EXP(C43),"")</f>
        <v/>
      </c>
      <c r="F43" s="19">
        <f>IFERROR(EXP(C43-1.96*D43),"")</f>
        <v/>
      </c>
      <c r="G43" s="19">
        <f>IFERROR(EXP(C43+1.96*D43),"")</f>
        <v/>
      </c>
      <c r="H43" s="19">
        <f>IFERROR(INDEX(Studies!$K:$K,MATCH(A43,Studies!$A:$A,0)),"")</f>
        <v/>
      </c>
      <c r="I43" s="19">
        <f>IFERROR(INDEX(Studies!$J:$J,MATCH(A43,Studies!$A:$A,0)),"")</f>
        <v/>
      </c>
      <c r="J43" s="19">
        <f>IFERROR(INDEX(Estimates!$C:$C,MATCH(A43,Estimates!$AB:$AB,0)),"")</f>
        <v/>
      </c>
      <c r="K43" s="19">
        <f>IFERROR(INDEX(Estimates!$I:$I,MATCH(A43,Estimates!$AB:$AB,0)),"")</f>
        <v/>
      </c>
      <c r="L43" s="19">
        <f>IFERROR(IF(INDEX(Estimates!$C:$C,MATCH(A43,Estimates!$AB:$AB,0))="Doxycycline","Yes","No"),"")</f>
        <v/>
      </c>
      <c r="M43" s="19">
        <f>IFERROR(INDEX(Estimates!$A:$A,MATCH(A43,Estimates!$AB:$AB,0)),"")</f>
        <v/>
      </c>
    </row>
    <row r="44">
      <c r="A44" s="23" t="inlineStr">
        <is>
          <t>S43</t>
        </is>
      </c>
      <c r="B44" s="19">
        <f>IFERROR(INDEX(Studies!$B:$B,MATCH(A44,Studies!$A:$A,0))&amp;" "&amp;INDEX(Studies!$C:$C,MATCH(A44,Studies!$A:$A,0)),"")</f>
        <v/>
      </c>
      <c r="C44" s="19">
        <f>IFERROR(INDEX(Estimates!$X:$X,MATCH(A44,Estimates!$AB:$AB,0)),"")</f>
        <v/>
      </c>
      <c r="D44" s="19">
        <f>IFERROR(INDEX(Estimates!$Y:$Y,MATCH(A44,Estimates!$AB:$AB,0)),"")</f>
        <v/>
      </c>
      <c r="E44" s="19">
        <f>IFERROR(EXP(C44),"")</f>
        <v/>
      </c>
      <c r="F44" s="19">
        <f>IFERROR(EXP(C44-1.96*D44),"")</f>
        <v/>
      </c>
      <c r="G44" s="19">
        <f>IFERROR(EXP(C44+1.96*D44),"")</f>
        <v/>
      </c>
      <c r="H44" s="19">
        <f>IFERROR(INDEX(Studies!$K:$K,MATCH(A44,Studies!$A:$A,0)),"")</f>
        <v/>
      </c>
      <c r="I44" s="19">
        <f>IFERROR(INDEX(Studies!$J:$J,MATCH(A44,Studies!$A:$A,0)),"")</f>
        <v/>
      </c>
      <c r="J44" s="19">
        <f>IFERROR(INDEX(Estimates!$C:$C,MATCH(A44,Estimates!$AB:$AB,0)),"")</f>
        <v/>
      </c>
      <c r="K44" s="19">
        <f>IFERROR(INDEX(Estimates!$I:$I,MATCH(A44,Estimates!$AB:$AB,0)),"")</f>
        <v/>
      </c>
      <c r="L44" s="19">
        <f>IFERROR(IF(INDEX(Estimates!$C:$C,MATCH(A44,Estimates!$AB:$AB,0))="Doxycycline","Yes","No"),"")</f>
        <v/>
      </c>
      <c r="M44" s="19">
        <f>IFERROR(INDEX(Estimates!$A:$A,MATCH(A44,Estimates!$AB:$AB,0)),"")</f>
        <v/>
      </c>
    </row>
    <row r="45">
      <c r="A45" s="23" t="inlineStr">
        <is>
          <t>S44</t>
        </is>
      </c>
      <c r="B45" s="19">
        <f>IFERROR(INDEX(Studies!$B:$B,MATCH(A45,Studies!$A:$A,0))&amp;" "&amp;INDEX(Studies!$C:$C,MATCH(A45,Studies!$A:$A,0)),"")</f>
        <v/>
      </c>
      <c r="C45" s="19">
        <f>IFERROR(INDEX(Estimates!$X:$X,MATCH(A45,Estimates!$AB:$AB,0)),"")</f>
        <v/>
      </c>
      <c r="D45" s="19">
        <f>IFERROR(INDEX(Estimates!$Y:$Y,MATCH(A45,Estimates!$AB:$AB,0)),"")</f>
        <v/>
      </c>
      <c r="E45" s="19">
        <f>IFERROR(EXP(C45),"")</f>
        <v/>
      </c>
      <c r="F45" s="19">
        <f>IFERROR(EXP(C45-1.96*D45),"")</f>
        <v/>
      </c>
      <c r="G45" s="19">
        <f>IFERROR(EXP(C45+1.96*D45),"")</f>
        <v/>
      </c>
      <c r="H45" s="19">
        <f>IFERROR(INDEX(Studies!$K:$K,MATCH(A45,Studies!$A:$A,0)),"")</f>
        <v/>
      </c>
      <c r="I45" s="19">
        <f>IFERROR(INDEX(Studies!$J:$J,MATCH(A45,Studies!$A:$A,0)),"")</f>
        <v/>
      </c>
      <c r="J45" s="19">
        <f>IFERROR(INDEX(Estimates!$C:$C,MATCH(A45,Estimates!$AB:$AB,0)),"")</f>
        <v/>
      </c>
      <c r="K45" s="19">
        <f>IFERROR(INDEX(Estimates!$I:$I,MATCH(A45,Estimates!$AB:$AB,0)),"")</f>
        <v/>
      </c>
      <c r="L45" s="19">
        <f>IFERROR(IF(INDEX(Estimates!$C:$C,MATCH(A45,Estimates!$AB:$AB,0))="Doxycycline","Yes","No"),"")</f>
        <v/>
      </c>
      <c r="M45" s="19">
        <f>IFERROR(INDEX(Estimates!$A:$A,MATCH(A45,Estimates!$AB:$AB,0)),"")</f>
        <v/>
      </c>
    </row>
    <row r="46">
      <c r="A46" s="23" t="inlineStr">
        <is>
          <t>S45</t>
        </is>
      </c>
      <c r="B46" s="19">
        <f>IFERROR(INDEX(Studies!$B:$B,MATCH(A46,Studies!$A:$A,0))&amp;" "&amp;INDEX(Studies!$C:$C,MATCH(A46,Studies!$A:$A,0)),"")</f>
        <v/>
      </c>
      <c r="C46" s="19">
        <f>IFERROR(INDEX(Estimates!$X:$X,MATCH(A46,Estimates!$AB:$AB,0)),"")</f>
        <v/>
      </c>
      <c r="D46" s="19">
        <f>IFERROR(INDEX(Estimates!$Y:$Y,MATCH(A46,Estimates!$AB:$AB,0)),"")</f>
        <v/>
      </c>
      <c r="E46" s="19">
        <f>IFERROR(EXP(C46),"")</f>
        <v/>
      </c>
      <c r="F46" s="19">
        <f>IFERROR(EXP(C46-1.96*D46),"")</f>
        <v/>
      </c>
      <c r="G46" s="19">
        <f>IFERROR(EXP(C46+1.96*D46),"")</f>
        <v/>
      </c>
      <c r="H46" s="19">
        <f>IFERROR(INDEX(Studies!$K:$K,MATCH(A46,Studies!$A:$A,0)),"")</f>
        <v/>
      </c>
      <c r="I46" s="19">
        <f>IFERROR(INDEX(Studies!$J:$J,MATCH(A46,Studies!$A:$A,0)),"")</f>
        <v/>
      </c>
      <c r="J46" s="19">
        <f>IFERROR(INDEX(Estimates!$C:$C,MATCH(A46,Estimates!$AB:$AB,0)),"")</f>
        <v/>
      </c>
      <c r="K46" s="19">
        <f>IFERROR(INDEX(Estimates!$I:$I,MATCH(A46,Estimates!$AB:$AB,0)),"")</f>
        <v/>
      </c>
      <c r="L46" s="19">
        <f>IFERROR(IF(INDEX(Estimates!$C:$C,MATCH(A46,Estimates!$AB:$AB,0))="Doxycycline","Yes","No"),"")</f>
        <v/>
      </c>
      <c r="M46" s="19">
        <f>IFERROR(INDEX(Estimates!$A:$A,MATCH(A46,Estimates!$AB:$AB,0)),"")</f>
        <v/>
      </c>
    </row>
    <row r="47">
      <c r="A47" s="23" t="inlineStr">
        <is>
          <t>S46</t>
        </is>
      </c>
      <c r="B47" s="19">
        <f>IFERROR(INDEX(Studies!$B:$B,MATCH(A47,Studies!$A:$A,0))&amp;" "&amp;INDEX(Studies!$C:$C,MATCH(A47,Studies!$A:$A,0)),"")</f>
        <v/>
      </c>
      <c r="C47" s="19">
        <f>IFERROR(INDEX(Estimates!$X:$X,MATCH(A47,Estimates!$AB:$AB,0)),"")</f>
        <v/>
      </c>
      <c r="D47" s="19">
        <f>IFERROR(INDEX(Estimates!$Y:$Y,MATCH(A47,Estimates!$AB:$AB,0)),"")</f>
        <v/>
      </c>
      <c r="E47" s="19">
        <f>IFERROR(EXP(C47),"")</f>
        <v/>
      </c>
      <c r="F47" s="19">
        <f>IFERROR(EXP(C47-1.96*D47),"")</f>
        <v/>
      </c>
      <c r="G47" s="19">
        <f>IFERROR(EXP(C47+1.96*D47),"")</f>
        <v/>
      </c>
      <c r="H47" s="19">
        <f>IFERROR(INDEX(Studies!$K:$K,MATCH(A47,Studies!$A:$A,0)),"")</f>
        <v/>
      </c>
      <c r="I47" s="19">
        <f>IFERROR(INDEX(Studies!$J:$J,MATCH(A47,Studies!$A:$A,0)),"")</f>
        <v/>
      </c>
      <c r="J47" s="19">
        <f>IFERROR(INDEX(Estimates!$C:$C,MATCH(A47,Estimates!$AB:$AB,0)),"")</f>
        <v/>
      </c>
      <c r="K47" s="19">
        <f>IFERROR(INDEX(Estimates!$I:$I,MATCH(A47,Estimates!$AB:$AB,0)),"")</f>
        <v/>
      </c>
      <c r="L47" s="19">
        <f>IFERROR(IF(INDEX(Estimates!$C:$C,MATCH(A47,Estimates!$AB:$AB,0))="Doxycycline","Yes","No"),"")</f>
        <v/>
      </c>
      <c r="M47" s="19">
        <f>IFERROR(INDEX(Estimates!$A:$A,MATCH(A47,Estimates!$AB:$AB,0)),"")</f>
        <v/>
      </c>
    </row>
    <row r="48">
      <c r="A48" s="23" t="inlineStr">
        <is>
          <t>S47</t>
        </is>
      </c>
      <c r="B48" s="19">
        <f>IFERROR(INDEX(Studies!$B:$B,MATCH(A48,Studies!$A:$A,0))&amp;" "&amp;INDEX(Studies!$C:$C,MATCH(A48,Studies!$A:$A,0)),"")</f>
        <v/>
      </c>
      <c r="C48" s="19">
        <f>IFERROR(INDEX(Estimates!$X:$X,MATCH(A48,Estimates!$AB:$AB,0)),"")</f>
        <v/>
      </c>
      <c r="D48" s="19">
        <f>IFERROR(INDEX(Estimates!$Y:$Y,MATCH(A48,Estimates!$AB:$AB,0)),"")</f>
        <v/>
      </c>
      <c r="E48" s="19">
        <f>IFERROR(EXP(C48),"")</f>
        <v/>
      </c>
      <c r="F48" s="19">
        <f>IFERROR(EXP(C48-1.96*D48),"")</f>
        <v/>
      </c>
      <c r="G48" s="19">
        <f>IFERROR(EXP(C48+1.96*D48),"")</f>
        <v/>
      </c>
      <c r="H48" s="19">
        <f>IFERROR(INDEX(Studies!$K:$K,MATCH(A48,Studies!$A:$A,0)),"")</f>
        <v/>
      </c>
      <c r="I48" s="19">
        <f>IFERROR(INDEX(Studies!$J:$J,MATCH(A48,Studies!$A:$A,0)),"")</f>
        <v/>
      </c>
      <c r="J48" s="19">
        <f>IFERROR(INDEX(Estimates!$C:$C,MATCH(A48,Estimates!$AB:$AB,0)),"")</f>
        <v/>
      </c>
      <c r="K48" s="19">
        <f>IFERROR(INDEX(Estimates!$I:$I,MATCH(A48,Estimates!$AB:$AB,0)),"")</f>
        <v/>
      </c>
      <c r="L48" s="19">
        <f>IFERROR(IF(INDEX(Estimates!$C:$C,MATCH(A48,Estimates!$AB:$AB,0))="Doxycycline","Yes","No"),"")</f>
        <v/>
      </c>
      <c r="M48" s="19">
        <f>IFERROR(INDEX(Estimates!$A:$A,MATCH(A48,Estimates!$AB:$AB,0)),"")</f>
        <v/>
      </c>
    </row>
    <row r="49">
      <c r="A49" s="23" t="inlineStr">
        <is>
          <t>S48</t>
        </is>
      </c>
      <c r="B49" s="19">
        <f>IFERROR(INDEX(Studies!$B:$B,MATCH(A49,Studies!$A:$A,0))&amp;" "&amp;INDEX(Studies!$C:$C,MATCH(A49,Studies!$A:$A,0)),"")</f>
        <v/>
      </c>
      <c r="C49" s="19">
        <f>IFERROR(INDEX(Estimates!$X:$X,MATCH(A49,Estimates!$AB:$AB,0)),"")</f>
        <v/>
      </c>
      <c r="D49" s="19">
        <f>IFERROR(INDEX(Estimates!$Y:$Y,MATCH(A49,Estimates!$AB:$AB,0)),"")</f>
        <v/>
      </c>
      <c r="E49" s="19">
        <f>IFERROR(EXP(C49),"")</f>
        <v/>
      </c>
      <c r="F49" s="19">
        <f>IFERROR(EXP(C49-1.96*D49),"")</f>
        <v/>
      </c>
      <c r="G49" s="19">
        <f>IFERROR(EXP(C49+1.96*D49),"")</f>
        <v/>
      </c>
      <c r="H49" s="19">
        <f>IFERROR(INDEX(Studies!$K:$K,MATCH(A49,Studies!$A:$A,0)),"")</f>
        <v/>
      </c>
      <c r="I49" s="19">
        <f>IFERROR(INDEX(Studies!$J:$J,MATCH(A49,Studies!$A:$A,0)),"")</f>
        <v/>
      </c>
      <c r="J49" s="19">
        <f>IFERROR(INDEX(Estimates!$C:$C,MATCH(A49,Estimates!$AB:$AB,0)),"")</f>
        <v/>
      </c>
      <c r="K49" s="19">
        <f>IFERROR(INDEX(Estimates!$I:$I,MATCH(A49,Estimates!$AB:$AB,0)),"")</f>
        <v/>
      </c>
      <c r="L49" s="19">
        <f>IFERROR(IF(INDEX(Estimates!$C:$C,MATCH(A49,Estimates!$AB:$AB,0))="Doxycycline","Yes","No"),"")</f>
        <v/>
      </c>
      <c r="M49" s="19">
        <f>IFERROR(INDEX(Estimates!$A:$A,MATCH(A49,Estimates!$AB:$AB,0)),"")</f>
        <v/>
      </c>
    </row>
    <row r="50">
      <c r="A50" s="23" t="inlineStr">
        <is>
          <t>S49</t>
        </is>
      </c>
      <c r="B50" s="19">
        <f>IFERROR(INDEX(Studies!$B:$B,MATCH(A50,Studies!$A:$A,0))&amp;" "&amp;INDEX(Studies!$C:$C,MATCH(A50,Studies!$A:$A,0)),"")</f>
        <v/>
      </c>
      <c r="C50" s="19">
        <f>IFERROR(INDEX(Estimates!$X:$X,MATCH(A50,Estimates!$AB:$AB,0)),"")</f>
        <v/>
      </c>
      <c r="D50" s="19">
        <f>IFERROR(INDEX(Estimates!$Y:$Y,MATCH(A50,Estimates!$AB:$AB,0)),"")</f>
        <v/>
      </c>
      <c r="E50" s="19">
        <f>IFERROR(EXP(C50),"")</f>
        <v/>
      </c>
      <c r="F50" s="19">
        <f>IFERROR(EXP(C50-1.96*D50),"")</f>
        <v/>
      </c>
      <c r="G50" s="19">
        <f>IFERROR(EXP(C50+1.96*D50),"")</f>
        <v/>
      </c>
      <c r="H50" s="19">
        <f>IFERROR(INDEX(Studies!$K:$K,MATCH(A50,Studies!$A:$A,0)),"")</f>
        <v/>
      </c>
      <c r="I50" s="19">
        <f>IFERROR(INDEX(Studies!$J:$J,MATCH(A50,Studies!$A:$A,0)),"")</f>
        <v/>
      </c>
      <c r="J50" s="19">
        <f>IFERROR(INDEX(Estimates!$C:$C,MATCH(A50,Estimates!$AB:$AB,0)),"")</f>
        <v/>
      </c>
      <c r="K50" s="19">
        <f>IFERROR(INDEX(Estimates!$I:$I,MATCH(A50,Estimates!$AB:$AB,0)),"")</f>
        <v/>
      </c>
      <c r="L50" s="19">
        <f>IFERROR(IF(INDEX(Estimates!$C:$C,MATCH(A50,Estimates!$AB:$AB,0))="Doxycycline","Yes","No"),"")</f>
        <v/>
      </c>
      <c r="M50" s="19">
        <f>IFERROR(INDEX(Estimates!$A:$A,MATCH(A50,Estimates!$AB:$AB,0)),"")</f>
        <v/>
      </c>
    </row>
    <row r="51">
      <c r="A51" s="23" t="inlineStr">
        <is>
          <t>S50</t>
        </is>
      </c>
      <c r="B51" s="19">
        <f>IFERROR(INDEX(Studies!$B:$B,MATCH(A51,Studies!$A:$A,0))&amp;" "&amp;INDEX(Studies!$C:$C,MATCH(A51,Studies!$A:$A,0)),"")</f>
        <v/>
      </c>
      <c r="C51" s="19">
        <f>IFERROR(INDEX(Estimates!$X:$X,MATCH(A51,Estimates!$AB:$AB,0)),"")</f>
        <v/>
      </c>
      <c r="D51" s="19">
        <f>IFERROR(INDEX(Estimates!$Y:$Y,MATCH(A51,Estimates!$AB:$AB,0)),"")</f>
        <v/>
      </c>
      <c r="E51" s="19">
        <f>IFERROR(EXP(C51),"")</f>
        <v/>
      </c>
      <c r="F51" s="19">
        <f>IFERROR(EXP(C51-1.96*D51),"")</f>
        <v/>
      </c>
      <c r="G51" s="19">
        <f>IFERROR(EXP(C51+1.96*D51),"")</f>
        <v/>
      </c>
      <c r="H51" s="19">
        <f>IFERROR(INDEX(Studies!$K:$K,MATCH(A51,Studies!$A:$A,0)),"")</f>
        <v/>
      </c>
      <c r="I51" s="19">
        <f>IFERROR(INDEX(Studies!$J:$J,MATCH(A51,Studies!$A:$A,0)),"")</f>
        <v/>
      </c>
      <c r="J51" s="19">
        <f>IFERROR(INDEX(Estimates!$C:$C,MATCH(A51,Estimates!$AB:$AB,0)),"")</f>
        <v/>
      </c>
      <c r="K51" s="19">
        <f>IFERROR(INDEX(Estimates!$I:$I,MATCH(A51,Estimates!$AB:$AB,0)),"")</f>
        <v/>
      </c>
      <c r="L51" s="19">
        <f>IFERROR(IF(INDEX(Estimates!$C:$C,MATCH(A51,Estimates!$AB:$AB,0))="Doxycycline","Yes","No"),"")</f>
        <v/>
      </c>
      <c r="M51" s="19">
        <f>IFERROR(INDEX(Estimates!$A:$A,MATCH(A51,Estimates!$AB:$AB,0)),"")</f>
        <v/>
      </c>
    </row>
    <row r="52">
      <c r="A52" s="23" t="inlineStr">
        <is>
          <t>S51</t>
        </is>
      </c>
      <c r="B52" s="19">
        <f>IFERROR(INDEX(Studies!$B:$B,MATCH(A52,Studies!$A:$A,0))&amp;" "&amp;INDEX(Studies!$C:$C,MATCH(A52,Studies!$A:$A,0)),"")</f>
        <v/>
      </c>
      <c r="C52" s="19">
        <f>IFERROR(INDEX(Estimates!$X:$X,MATCH(A52,Estimates!$AB:$AB,0)),"")</f>
        <v/>
      </c>
      <c r="D52" s="19">
        <f>IFERROR(INDEX(Estimates!$Y:$Y,MATCH(A52,Estimates!$AB:$AB,0)),"")</f>
        <v/>
      </c>
      <c r="E52" s="19">
        <f>IFERROR(EXP(C52),"")</f>
        <v/>
      </c>
      <c r="F52" s="19">
        <f>IFERROR(EXP(C52-1.96*D52),"")</f>
        <v/>
      </c>
      <c r="G52" s="19">
        <f>IFERROR(EXP(C52+1.96*D52),"")</f>
        <v/>
      </c>
      <c r="H52" s="19">
        <f>IFERROR(INDEX(Studies!$K:$K,MATCH(A52,Studies!$A:$A,0)),"")</f>
        <v/>
      </c>
      <c r="I52" s="19">
        <f>IFERROR(INDEX(Studies!$J:$J,MATCH(A52,Studies!$A:$A,0)),"")</f>
        <v/>
      </c>
      <c r="J52" s="19">
        <f>IFERROR(INDEX(Estimates!$C:$C,MATCH(A52,Estimates!$AB:$AB,0)),"")</f>
        <v/>
      </c>
      <c r="K52" s="19">
        <f>IFERROR(INDEX(Estimates!$I:$I,MATCH(A52,Estimates!$AB:$AB,0)),"")</f>
        <v/>
      </c>
      <c r="L52" s="19">
        <f>IFERROR(IF(INDEX(Estimates!$C:$C,MATCH(A52,Estimates!$AB:$AB,0))="Doxycycline","Yes","No"),"")</f>
        <v/>
      </c>
      <c r="M52" s="19">
        <f>IFERROR(INDEX(Estimates!$A:$A,MATCH(A52,Estimates!$AB:$AB,0)),"")</f>
        <v/>
      </c>
    </row>
    <row r="53">
      <c r="A53" s="23" t="inlineStr">
        <is>
          <t>S52</t>
        </is>
      </c>
      <c r="B53" s="19">
        <f>IFERROR(INDEX(Studies!$B:$B,MATCH(A53,Studies!$A:$A,0))&amp;" "&amp;INDEX(Studies!$C:$C,MATCH(A53,Studies!$A:$A,0)),"")</f>
        <v/>
      </c>
      <c r="C53" s="19">
        <f>IFERROR(INDEX(Estimates!$X:$X,MATCH(A53,Estimates!$AB:$AB,0)),"")</f>
        <v/>
      </c>
      <c r="D53" s="19">
        <f>IFERROR(INDEX(Estimates!$Y:$Y,MATCH(A53,Estimates!$AB:$AB,0)),"")</f>
        <v/>
      </c>
      <c r="E53" s="19">
        <f>IFERROR(EXP(C53),"")</f>
        <v/>
      </c>
      <c r="F53" s="19">
        <f>IFERROR(EXP(C53-1.96*D53),"")</f>
        <v/>
      </c>
      <c r="G53" s="19">
        <f>IFERROR(EXP(C53+1.96*D53),"")</f>
        <v/>
      </c>
      <c r="H53" s="19">
        <f>IFERROR(INDEX(Studies!$K:$K,MATCH(A53,Studies!$A:$A,0)),"")</f>
        <v/>
      </c>
      <c r="I53" s="19">
        <f>IFERROR(INDEX(Studies!$J:$J,MATCH(A53,Studies!$A:$A,0)),"")</f>
        <v/>
      </c>
      <c r="J53" s="19">
        <f>IFERROR(INDEX(Estimates!$C:$C,MATCH(A53,Estimates!$AB:$AB,0)),"")</f>
        <v/>
      </c>
      <c r="K53" s="19">
        <f>IFERROR(INDEX(Estimates!$I:$I,MATCH(A53,Estimates!$AB:$AB,0)),"")</f>
        <v/>
      </c>
      <c r="L53" s="19">
        <f>IFERROR(IF(INDEX(Estimates!$C:$C,MATCH(A53,Estimates!$AB:$AB,0))="Doxycycline","Yes","No"),"")</f>
        <v/>
      </c>
      <c r="M53" s="19">
        <f>IFERROR(INDEX(Estimates!$A:$A,MATCH(A53,Estimates!$AB:$AB,0)),"")</f>
        <v/>
      </c>
    </row>
    <row r="54">
      <c r="A54" s="23" t="inlineStr">
        <is>
          <t>S53</t>
        </is>
      </c>
      <c r="B54" s="19">
        <f>IFERROR(INDEX(Studies!$B:$B,MATCH(A54,Studies!$A:$A,0))&amp;" "&amp;INDEX(Studies!$C:$C,MATCH(A54,Studies!$A:$A,0)),"")</f>
        <v/>
      </c>
      <c r="C54" s="19">
        <f>IFERROR(INDEX(Estimates!$X:$X,MATCH(A54,Estimates!$AB:$AB,0)),"")</f>
        <v/>
      </c>
      <c r="D54" s="19">
        <f>IFERROR(INDEX(Estimates!$Y:$Y,MATCH(A54,Estimates!$AB:$AB,0)),"")</f>
        <v/>
      </c>
      <c r="E54" s="19">
        <f>IFERROR(EXP(C54),"")</f>
        <v/>
      </c>
      <c r="F54" s="19">
        <f>IFERROR(EXP(C54-1.96*D54),"")</f>
        <v/>
      </c>
      <c r="G54" s="19">
        <f>IFERROR(EXP(C54+1.96*D54),"")</f>
        <v/>
      </c>
      <c r="H54" s="19">
        <f>IFERROR(INDEX(Studies!$K:$K,MATCH(A54,Studies!$A:$A,0)),"")</f>
        <v/>
      </c>
      <c r="I54" s="19">
        <f>IFERROR(INDEX(Studies!$J:$J,MATCH(A54,Studies!$A:$A,0)),"")</f>
        <v/>
      </c>
      <c r="J54" s="19">
        <f>IFERROR(INDEX(Estimates!$C:$C,MATCH(A54,Estimates!$AB:$AB,0)),"")</f>
        <v/>
      </c>
      <c r="K54" s="19">
        <f>IFERROR(INDEX(Estimates!$I:$I,MATCH(A54,Estimates!$AB:$AB,0)),"")</f>
        <v/>
      </c>
      <c r="L54" s="19">
        <f>IFERROR(IF(INDEX(Estimates!$C:$C,MATCH(A54,Estimates!$AB:$AB,0))="Doxycycline","Yes","No"),"")</f>
        <v/>
      </c>
      <c r="M54" s="19">
        <f>IFERROR(INDEX(Estimates!$A:$A,MATCH(A54,Estimates!$AB:$AB,0)),"")</f>
        <v/>
      </c>
    </row>
    <row r="55">
      <c r="A55" s="23" t="inlineStr">
        <is>
          <t>S54</t>
        </is>
      </c>
      <c r="B55" s="19">
        <f>IFERROR(INDEX(Studies!$B:$B,MATCH(A55,Studies!$A:$A,0))&amp;" "&amp;INDEX(Studies!$C:$C,MATCH(A55,Studies!$A:$A,0)),"")</f>
        <v/>
      </c>
      <c r="C55" s="19">
        <f>IFERROR(INDEX(Estimates!$X:$X,MATCH(A55,Estimates!$AB:$AB,0)),"")</f>
        <v/>
      </c>
      <c r="D55" s="19">
        <f>IFERROR(INDEX(Estimates!$Y:$Y,MATCH(A55,Estimates!$AB:$AB,0)),"")</f>
        <v/>
      </c>
      <c r="E55" s="19">
        <f>IFERROR(EXP(C55),"")</f>
        <v/>
      </c>
      <c r="F55" s="19">
        <f>IFERROR(EXP(C55-1.96*D55),"")</f>
        <v/>
      </c>
      <c r="G55" s="19">
        <f>IFERROR(EXP(C55+1.96*D55),"")</f>
        <v/>
      </c>
      <c r="H55" s="19">
        <f>IFERROR(INDEX(Studies!$K:$K,MATCH(A55,Studies!$A:$A,0)),"")</f>
        <v/>
      </c>
      <c r="I55" s="19">
        <f>IFERROR(INDEX(Studies!$J:$J,MATCH(A55,Studies!$A:$A,0)),"")</f>
        <v/>
      </c>
      <c r="J55" s="19">
        <f>IFERROR(INDEX(Estimates!$C:$C,MATCH(A55,Estimates!$AB:$AB,0)),"")</f>
        <v/>
      </c>
      <c r="K55" s="19">
        <f>IFERROR(INDEX(Estimates!$I:$I,MATCH(A55,Estimates!$AB:$AB,0)),"")</f>
        <v/>
      </c>
      <c r="L55" s="19">
        <f>IFERROR(IF(INDEX(Estimates!$C:$C,MATCH(A55,Estimates!$AB:$AB,0))="Doxycycline","Yes","No"),"")</f>
        <v/>
      </c>
      <c r="M55" s="19">
        <f>IFERROR(INDEX(Estimates!$A:$A,MATCH(A55,Estimates!$AB:$AB,0)),"")</f>
        <v/>
      </c>
    </row>
    <row r="56">
      <c r="A56" s="23" t="inlineStr">
        <is>
          <t>S55</t>
        </is>
      </c>
      <c r="B56" s="19">
        <f>IFERROR(INDEX(Studies!$B:$B,MATCH(A56,Studies!$A:$A,0))&amp;" "&amp;INDEX(Studies!$C:$C,MATCH(A56,Studies!$A:$A,0)),"")</f>
        <v/>
      </c>
      <c r="C56" s="19">
        <f>IFERROR(INDEX(Estimates!$X:$X,MATCH(A56,Estimates!$AB:$AB,0)),"")</f>
        <v/>
      </c>
      <c r="D56" s="19">
        <f>IFERROR(INDEX(Estimates!$Y:$Y,MATCH(A56,Estimates!$AB:$AB,0)),"")</f>
        <v/>
      </c>
      <c r="E56" s="19">
        <f>IFERROR(EXP(C56),"")</f>
        <v/>
      </c>
      <c r="F56" s="19">
        <f>IFERROR(EXP(C56-1.96*D56),"")</f>
        <v/>
      </c>
      <c r="G56" s="19">
        <f>IFERROR(EXP(C56+1.96*D56),"")</f>
        <v/>
      </c>
      <c r="H56" s="19">
        <f>IFERROR(INDEX(Studies!$K:$K,MATCH(A56,Studies!$A:$A,0)),"")</f>
        <v/>
      </c>
      <c r="I56" s="19">
        <f>IFERROR(INDEX(Studies!$J:$J,MATCH(A56,Studies!$A:$A,0)),"")</f>
        <v/>
      </c>
      <c r="J56" s="19">
        <f>IFERROR(INDEX(Estimates!$C:$C,MATCH(A56,Estimates!$AB:$AB,0)),"")</f>
        <v/>
      </c>
      <c r="K56" s="19">
        <f>IFERROR(INDEX(Estimates!$I:$I,MATCH(A56,Estimates!$AB:$AB,0)),"")</f>
        <v/>
      </c>
      <c r="L56" s="19">
        <f>IFERROR(IF(INDEX(Estimates!$C:$C,MATCH(A56,Estimates!$AB:$AB,0))="Doxycycline","Yes","No"),"")</f>
        <v/>
      </c>
      <c r="M56" s="19">
        <f>IFERROR(INDEX(Estimates!$A:$A,MATCH(A56,Estimates!$AB:$AB,0)),"")</f>
        <v/>
      </c>
    </row>
    <row r="57">
      <c r="A57" s="23" t="inlineStr">
        <is>
          <t>S56</t>
        </is>
      </c>
      <c r="B57" s="19">
        <f>IFERROR(INDEX(Studies!$B:$B,MATCH(A57,Studies!$A:$A,0))&amp;" "&amp;INDEX(Studies!$C:$C,MATCH(A57,Studies!$A:$A,0)),"")</f>
        <v/>
      </c>
      <c r="C57" s="19">
        <f>IFERROR(INDEX(Estimates!$X:$X,MATCH(A57,Estimates!$AB:$AB,0)),"")</f>
        <v/>
      </c>
      <c r="D57" s="19">
        <f>IFERROR(INDEX(Estimates!$Y:$Y,MATCH(A57,Estimates!$AB:$AB,0)),"")</f>
        <v/>
      </c>
      <c r="E57" s="19">
        <f>IFERROR(EXP(C57),"")</f>
        <v/>
      </c>
      <c r="F57" s="19">
        <f>IFERROR(EXP(C57-1.96*D57),"")</f>
        <v/>
      </c>
      <c r="G57" s="19">
        <f>IFERROR(EXP(C57+1.96*D57),"")</f>
        <v/>
      </c>
      <c r="H57" s="19">
        <f>IFERROR(INDEX(Studies!$K:$K,MATCH(A57,Studies!$A:$A,0)),"")</f>
        <v/>
      </c>
      <c r="I57" s="19">
        <f>IFERROR(INDEX(Studies!$J:$J,MATCH(A57,Studies!$A:$A,0)),"")</f>
        <v/>
      </c>
      <c r="J57" s="19">
        <f>IFERROR(INDEX(Estimates!$C:$C,MATCH(A57,Estimates!$AB:$AB,0)),"")</f>
        <v/>
      </c>
      <c r="K57" s="19">
        <f>IFERROR(INDEX(Estimates!$I:$I,MATCH(A57,Estimates!$AB:$AB,0)),"")</f>
        <v/>
      </c>
      <c r="L57" s="19">
        <f>IFERROR(IF(INDEX(Estimates!$C:$C,MATCH(A57,Estimates!$AB:$AB,0))="Doxycycline","Yes","No"),"")</f>
        <v/>
      </c>
      <c r="M57" s="19">
        <f>IFERROR(INDEX(Estimates!$A:$A,MATCH(A57,Estimates!$AB:$AB,0)),"")</f>
        <v/>
      </c>
    </row>
    <row r="58">
      <c r="A58" s="23" t="inlineStr">
        <is>
          <t>S57</t>
        </is>
      </c>
      <c r="B58" s="19">
        <f>IFERROR(INDEX(Studies!$B:$B,MATCH(A58,Studies!$A:$A,0))&amp;" "&amp;INDEX(Studies!$C:$C,MATCH(A58,Studies!$A:$A,0)),"")</f>
        <v/>
      </c>
      <c r="C58" s="19">
        <f>IFERROR(INDEX(Estimates!$X:$X,MATCH(A58,Estimates!$AB:$AB,0)),"")</f>
        <v/>
      </c>
      <c r="D58" s="19">
        <f>IFERROR(INDEX(Estimates!$Y:$Y,MATCH(A58,Estimates!$AB:$AB,0)),"")</f>
        <v/>
      </c>
      <c r="E58" s="19">
        <f>IFERROR(EXP(C58),"")</f>
        <v/>
      </c>
      <c r="F58" s="19">
        <f>IFERROR(EXP(C58-1.96*D58),"")</f>
        <v/>
      </c>
      <c r="G58" s="19">
        <f>IFERROR(EXP(C58+1.96*D58),"")</f>
        <v/>
      </c>
      <c r="H58" s="19">
        <f>IFERROR(INDEX(Studies!$K:$K,MATCH(A58,Studies!$A:$A,0)),"")</f>
        <v/>
      </c>
      <c r="I58" s="19">
        <f>IFERROR(INDEX(Studies!$J:$J,MATCH(A58,Studies!$A:$A,0)),"")</f>
        <v/>
      </c>
      <c r="J58" s="19">
        <f>IFERROR(INDEX(Estimates!$C:$C,MATCH(A58,Estimates!$AB:$AB,0)),"")</f>
        <v/>
      </c>
      <c r="K58" s="19">
        <f>IFERROR(INDEX(Estimates!$I:$I,MATCH(A58,Estimates!$AB:$AB,0)),"")</f>
        <v/>
      </c>
      <c r="L58" s="19">
        <f>IFERROR(IF(INDEX(Estimates!$C:$C,MATCH(A58,Estimates!$AB:$AB,0))="Doxycycline","Yes","No"),"")</f>
        <v/>
      </c>
      <c r="M58" s="19">
        <f>IFERROR(INDEX(Estimates!$A:$A,MATCH(A58,Estimates!$AB:$AB,0)),"")</f>
        <v/>
      </c>
    </row>
    <row r="59">
      <c r="A59" s="23" t="inlineStr">
        <is>
          <t>S58</t>
        </is>
      </c>
      <c r="B59" s="19">
        <f>IFERROR(INDEX(Studies!$B:$B,MATCH(A59,Studies!$A:$A,0))&amp;" "&amp;INDEX(Studies!$C:$C,MATCH(A59,Studies!$A:$A,0)),"")</f>
        <v/>
      </c>
      <c r="C59" s="19">
        <f>IFERROR(INDEX(Estimates!$X:$X,MATCH(A59,Estimates!$AB:$AB,0)),"")</f>
        <v/>
      </c>
      <c r="D59" s="19">
        <f>IFERROR(INDEX(Estimates!$Y:$Y,MATCH(A59,Estimates!$AB:$AB,0)),"")</f>
        <v/>
      </c>
      <c r="E59" s="19">
        <f>IFERROR(EXP(C59),"")</f>
        <v/>
      </c>
      <c r="F59" s="19">
        <f>IFERROR(EXP(C59-1.96*D59),"")</f>
        <v/>
      </c>
      <c r="G59" s="19">
        <f>IFERROR(EXP(C59+1.96*D59),"")</f>
        <v/>
      </c>
      <c r="H59" s="19">
        <f>IFERROR(INDEX(Studies!$K:$K,MATCH(A59,Studies!$A:$A,0)),"")</f>
        <v/>
      </c>
      <c r="I59" s="19">
        <f>IFERROR(INDEX(Studies!$J:$J,MATCH(A59,Studies!$A:$A,0)),"")</f>
        <v/>
      </c>
      <c r="J59" s="19">
        <f>IFERROR(INDEX(Estimates!$C:$C,MATCH(A59,Estimates!$AB:$AB,0)),"")</f>
        <v/>
      </c>
      <c r="K59" s="19">
        <f>IFERROR(INDEX(Estimates!$I:$I,MATCH(A59,Estimates!$AB:$AB,0)),"")</f>
        <v/>
      </c>
      <c r="L59" s="19">
        <f>IFERROR(IF(INDEX(Estimates!$C:$C,MATCH(A59,Estimates!$AB:$AB,0))="Doxycycline","Yes","No"),"")</f>
        <v/>
      </c>
      <c r="M59" s="19">
        <f>IFERROR(INDEX(Estimates!$A:$A,MATCH(A59,Estimates!$AB:$AB,0)),"")</f>
        <v/>
      </c>
    </row>
    <row r="60">
      <c r="A60" s="23" t="inlineStr">
        <is>
          <t>S59</t>
        </is>
      </c>
      <c r="B60" s="19">
        <f>IFERROR(INDEX(Studies!$B:$B,MATCH(A60,Studies!$A:$A,0))&amp;" "&amp;INDEX(Studies!$C:$C,MATCH(A60,Studies!$A:$A,0)),"")</f>
        <v/>
      </c>
      <c r="C60" s="19">
        <f>IFERROR(INDEX(Estimates!$X:$X,MATCH(A60,Estimates!$AB:$AB,0)),"")</f>
        <v/>
      </c>
      <c r="D60" s="19">
        <f>IFERROR(INDEX(Estimates!$Y:$Y,MATCH(A60,Estimates!$AB:$AB,0)),"")</f>
        <v/>
      </c>
      <c r="E60" s="19">
        <f>IFERROR(EXP(C60),"")</f>
        <v/>
      </c>
      <c r="F60" s="19">
        <f>IFERROR(EXP(C60-1.96*D60),"")</f>
        <v/>
      </c>
      <c r="G60" s="19">
        <f>IFERROR(EXP(C60+1.96*D60),"")</f>
        <v/>
      </c>
      <c r="H60" s="19">
        <f>IFERROR(INDEX(Studies!$K:$K,MATCH(A60,Studies!$A:$A,0)),"")</f>
        <v/>
      </c>
      <c r="I60" s="19">
        <f>IFERROR(INDEX(Studies!$J:$J,MATCH(A60,Studies!$A:$A,0)),"")</f>
        <v/>
      </c>
      <c r="J60" s="19">
        <f>IFERROR(INDEX(Estimates!$C:$C,MATCH(A60,Estimates!$AB:$AB,0)),"")</f>
        <v/>
      </c>
      <c r="K60" s="19">
        <f>IFERROR(INDEX(Estimates!$I:$I,MATCH(A60,Estimates!$AB:$AB,0)),"")</f>
        <v/>
      </c>
      <c r="L60" s="19">
        <f>IFERROR(IF(INDEX(Estimates!$C:$C,MATCH(A60,Estimates!$AB:$AB,0))="Doxycycline","Yes","No"),"")</f>
        <v/>
      </c>
      <c r="M60" s="19">
        <f>IFERROR(INDEX(Estimates!$A:$A,MATCH(A60,Estimates!$AB:$AB,0)),"")</f>
        <v/>
      </c>
    </row>
    <row r="61">
      <c r="A61" s="23" t="inlineStr">
        <is>
          <t>S60</t>
        </is>
      </c>
      <c r="B61" s="19">
        <f>IFERROR(INDEX(Studies!$B:$B,MATCH(A61,Studies!$A:$A,0))&amp;" "&amp;INDEX(Studies!$C:$C,MATCH(A61,Studies!$A:$A,0)),"")</f>
        <v/>
      </c>
      <c r="C61" s="19">
        <f>IFERROR(INDEX(Estimates!$X:$X,MATCH(A61,Estimates!$AB:$AB,0)),"")</f>
        <v/>
      </c>
      <c r="D61" s="19">
        <f>IFERROR(INDEX(Estimates!$Y:$Y,MATCH(A61,Estimates!$AB:$AB,0)),"")</f>
        <v/>
      </c>
      <c r="E61" s="19">
        <f>IFERROR(EXP(C61),"")</f>
        <v/>
      </c>
      <c r="F61" s="19">
        <f>IFERROR(EXP(C61-1.96*D61),"")</f>
        <v/>
      </c>
      <c r="G61" s="19">
        <f>IFERROR(EXP(C61+1.96*D61),"")</f>
        <v/>
      </c>
      <c r="H61" s="19">
        <f>IFERROR(INDEX(Studies!$K:$K,MATCH(A61,Studies!$A:$A,0)),"")</f>
        <v/>
      </c>
      <c r="I61" s="19">
        <f>IFERROR(INDEX(Studies!$J:$J,MATCH(A61,Studies!$A:$A,0)),"")</f>
        <v/>
      </c>
      <c r="J61" s="19">
        <f>IFERROR(INDEX(Estimates!$C:$C,MATCH(A61,Estimates!$AB:$AB,0)),"")</f>
        <v/>
      </c>
      <c r="K61" s="19">
        <f>IFERROR(INDEX(Estimates!$I:$I,MATCH(A61,Estimates!$AB:$AB,0)),"")</f>
        <v/>
      </c>
      <c r="L61" s="19">
        <f>IFERROR(IF(INDEX(Estimates!$C:$C,MATCH(A61,Estimates!$AB:$AB,0))="Doxycycline","Yes","No"),"")</f>
        <v/>
      </c>
      <c r="M61" s="19">
        <f>IFERROR(INDEX(Estimates!$A:$A,MATCH(A61,Estimates!$AB:$AB,0)),"")</f>
        <v/>
      </c>
    </row>
    <row r="62">
      <c r="A62" s="23" t="inlineStr">
        <is>
          <t>S61</t>
        </is>
      </c>
      <c r="B62" s="19">
        <f>IFERROR(INDEX(Studies!$B:$B,MATCH(A62,Studies!$A:$A,0))&amp;" "&amp;INDEX(Studies!$C:$C,MATCH(A62,Studies!$A:$A,0)),"")</f>
        <v/>
      </c>
      <c r="C62" s="19">
        <f>IFERROR(INDEX(Estimates!$X:$X,MATCH(A62,Estimates!$AB:$AB,0)),"")</f>
        <v/>
      </c>
      <c r="D62" s="19">
        <f>IFERROR(INDEX(Estimates!$Y:$Y,MATCH(A62,Estimates!$AB:$AB,0)),"")</f>
        <v/>
      </c>
      <c r="E62" s="19">
        <f>IFERROR(EXP(C62),"")</f>
        <v/>
      </c>
      <c r="F62" s="19">
        <f>IFERROR(EXP(C62-1.96*D62),"")</f>
        <v/>
      </c>
      <c r="G62" s="19">
        <f>IFERROR(EXP(C62+1.96*D62),"")</f>
        <v/>
      </c>
      <c r="H62" s="19">
        <f>IFERROR(INDEX(Studies!$K:$K,MATCH(A62,Studies!$A:$A,0)),"")</f>
        <v/>
      </c>
      <c r="I62" s="19">
        <f>IFERROR(INDEX(Studies!$J:$J,MATCH(A62,Studies!$A:$A,0)),"")</f>
        <v/>
      </c>
      <c r="J62" s="19">
        <f>IFERROR(INDEX(Estimates!$C:$C,MATCH(A62,Estimates!$AB:$AB,0)),"")</f>
        <v/>
      </c>
      <c r="K62" s="19">
        <f>IFERROR(INDEX(Estimates!$I:$I,MATCH(A62,Estimates!$AB:$AB,0)),"")</f>
        <v/>
      </c>
      <c r="L62" s="19">
        <f>IFERROR(IF(INDEX(Estimates!$C:$C,MATCH(A62,Estimates!$AB:$AB,0))="Doxycycline","Yes","No"),"")</f>
        <v/>
      </c>
      <c r="M62" s="19">
        <f>IFERROR(INDEX(Estimates!$A:$A,MATCH(A62,Estimates!$AB:$AB,0)),"")</f>
        <v/>
      </c>
    </row>
    <row r="63">
      <c r="A63" s="23" t="inlineStr">
        <is>
          <t>S62</t>
        </is>
      </c>
      <c r="B63" s="19">
        <f>IFERROR(INDEX(Studies!$B:$B,MATCH(A63,Studies!$A:$A,0))&amp;" "&amp;INDEX(Studies!$C:$C,MATCH(A63,Studies!$A:$A,0)),"")</f>
        <v/>
      </c>
      <c r="C63" s="19">
        <f>IFERROR(INDEX(Estimates!$X:$X,MATCH(A63,Estimates!$AB:$AB,0)),"")</f>
        <v/>
      </c>
      <c r="D63" s="19">
        <f>IFERROR(INDEX(Estimates!$Y:$Y,MATCH(A63,Estimates!$AB:$AB,0)),"")</f>
        <v/>
      </c>
      <c r="E63" s="19">
        <f>IFERROR(EXP(C63),"")</f>
        <v/>
      </c>
      <c r="F63" s="19">
        <f>IFERROR(EXP(C63-1.96*D63),"")</f>
        <v/>
      </c>
      <c r="G63" s="19">
        <f>IFERROR(EXP(C63+1.96*D63),"")</f>
        <v/>
      </c>
      <c r="H63" s="19">
        <f>IFERROR(INDEX(Studies!$K:$K,MATCH(A63,Studies!$A:$A,0)),"")</f>
        <v/>
      </c>
      <c r="I63" s="19">
        <f>IFERROR(INDEX(Studies!$J:$J,MATCH(A63,Studies!$A:$A,0)),"")</f>
        <v/>
      </c>
      <c r="J63" s="19">
        <f>IFERROR(INDEX(Estimates!$C:$C,MATCH(A63,Estimates!$AB:$AB,0)),"")</f>
        <v/>
      </c>
      <c r="K63" s="19">
        <f>IFERROR(INDEX(Estimates!$I:$I,MATCH(A63,Estimates!$AB:$AB,0)),"")</f>
        <v/>
      </c>
      <c r="L63" s="19">
        <f>IFERROR(IF(INDEX(Estimates!$C:$C,MATCH(A63,Estimates!$AB:$AB,0))="Doxycycline","Yes","No"),"")</f>
        <v/>
      </c>
      <c r="M63" s="19">
        <f>IFERROR(INDEX(Estimates!$A:$A,MATCH(A63,Estimates!$AB:$AB,0)),"")</f>
        <v/>
      </c>
    </row>
    <row r="64">
      <c r="A64" s="23" t="inlineStr">
        <is>
          <t>S63</t>
        </is>
      </c>
      <c r="B64" s="19">
        <f>IFERROR(INDEX(Studies!$B:$B,MATCH(A64,Studies!$A:$A,0))&amp;" "&amp;INDEX(Studies!$C:$C,MATCH(A64,Studies!$A:$A,0)),"")</f>
        <v/>
      </c>
      <c r="C64" s="19">
        <f>IFERROR(INDEX(Estimates!$X:$X,MATCH(A64,Estimates!$AB:$AB,0)),"")</f>
        <v/>
      </c>
      <c r="D64" s="19">
        <f>IFERROR(INDEX(Estimates!$Y:$Y,MATCH(A64,Estimates!$AB:$AB,0)),"")</f>
        <v/>
      </c>
      <c r="E64" s="19">
        <f>IFERROR(EXP(C64),"")</f>
        <v/>
      </c>
      <c r="F64" s="19">
        <f>IFERROR(EXP(C64-1.96*D64),"")</f>
        <v/>
      </c>
      <c r="G64" s="19">
        <f>IFERROR(EXP(C64+1.96*D64),"")</f>
        <v/>
      </c>
      <c r="H64" s="19">
        <f>IFERROR(INDEX(Studies!$K:$K,MATCH(A64,Studies!$A:$A,0)),"")</f>
        <v/>
      </c>
      <c r="I64" s="19">
        <f>IFERROR(INDEX(Studies!$J:$J,MATCH(A64,Studies!$A:$A,0)),"")</f>
        <v/>
      </c>
      <c r="J64" s="19">
        <f>IFERROR(INDEX(Estimates!$C:$C,MATCH(A64,Estimates!$AB:$AB,0)),"")</f>
        <v/>
      </c>
      <c r="K64" s="19">
        <f>IFERROR(INDEX(Estimates!$I:$I,MATCH(A64,Estimates!$AB:$AB,0)),"")</f>
        <v/>
      </c>
      <c r="L64" s="19">
        <f>IFERROR(IF(INDEX(Estimates!$C:$C,MATCH(A64,Estimates!$AB:$AB,0))="Doxycycline","Yes","No"),"")</f>
        <v/>
      </c>
      <c r="M64" s="19">
        <f>IFERROR(INDEX(Estimates!$A:$A,MATCH(A64,Estimates!$AB:$AB,0)),"")</f>
        <v/>
      </c>
    </row>
    <row r="65">
      <c r="A65" s="23" t="inlineStr">
        <is>
          <t>S64</t>
        </is>
      </c>
      <c r="B65" s="19">
        <f>IFERROR(INDEX(Studies!$B:$B,MATCH(A65,Studies!$A:$A,0))&amp;" "&amp;INDEX(Studies!$C:$C,MATCH(A65,Studies!$A:$A,0)),"")</f>
        <v/>
      </c>
      <c r="C65" s="19">
        <f>IFERROR(INDEX(Estimates!$X:$X,MATCH(A65,Estimates!$AB:$AB,0)),"")</f>
        <v/>
      </c>
      <c r="D65" s="19">
        <f>IFERROR(INDEX(Estimates!$Y:$Y,MATCH(A65,Estimates!$AB:$AB,0)),"")</f>
        <v/>
      </c>
      <c r="E65" s="19">
        <f>IFERROR(EXP(C65),"")</f>
        <v/>
      </c>
      <c r="F65" s="19">
        <f>IFERROR(EXP(C65-1.96*D65),"")</f>
        <v/>
      </c>
      <c r="G65" s="19">
        <f>IFERROR(EXP(C65+1.96*D65),"")</f>
        <v/>
      </c>
      <c r="H65" s="19">
        <f>IFERROR(INDEX(Studies!$K:$K,MATCH(A65,Studies!$A:$A,0)),"")</f>
        <v/>
      </c>
      <c r="I65" s="19">
        <f>IFERROR(INDEX(Studies!$J:$J,MATCH(A65,Studies!$A:$A,0)),"")</f>
        <v/>
      </c>
      <c r="J65" s="19">
        <f>IFERROR(INDEX(Estimates!$C:$C,MATCH(A65,Estimates!$AB:$AB,0)),"")</f>
        <v/>
      </c>
      <c r="K65" s="19">
        <f>IFERROR(INDEX(Estimates!$I:$I,MATCH(A65,Estimates!$AB:$AB,0)),"")</f>
        <v/>
      </c>
      <c r="L65" s="19">
        <f>IFERROR(IF(INDEX(Estimates!$C:$C,MATCH(A65,Estimates!$AB:$AB,0))="Doxycycline","Yes","No"),"")</f>
        <v/>
      </c>
      <c r="M65" s="19">
        <f>IFERROR(INDEX(Estimates!$A:$A,MATCH(A65,Estimates!$AB:$AB,0)),"")</f>
        <v/>
      </c>
    </row>
    <row r="66">
      <c r="A66" s="23" t="inlineStr">
        <is>
          <t>S65</t>
        </is>
      </c>
      <c r="B66" s="19">
        <f>IFERROR(INDEX(Studies!$B:$B,MATCH(A66,Studies!$A:$A,0))&amp;" "&amp;INDEX(Studies!$C:$C,MATCH(A66,Studies!$A:$A,0)),"")</f>
        <v/>
      </c>
      <c r="C66" s="19">
        <f>IFERROR(INDEX(Estimates!$X:$X,MATCH(A66,Estimates!$AB:$AB,0)),"")</f>
        <v/>
      </c>
      <c r="D66" s="19">
        <f>IFERROR(INDEX(Estimates!$Y:$Y,MATCH(A66,Estimates!$AB:$AB,0)),"")</f>
        <v/>
      </c>
      <c r="E66" s="19">
        <f>IFERROR(EXP(C66),"")</f>
        <v/>
      </c>
      <c r="F66" s="19">
        <f>IFERROR(EXP(C66-1.96*D66),"")</f>
        <v/>
      </c>
      <c r="G66" s="19">
        <f>IFERROR(EXP(C66+1.96*D66),"")</f>
        <v/>
      </c>
      <c r="H66" s="19">
        <f>IFERROR(INDEX(Studies!$K:$K,MATCH(A66,Studies!$A:$A,0)),"")</f>
        <v/>
      </c>
      <c r="I66" s="19">
        <f>IFERROR(INDEX(Studies!$J:$J,MATCH(A66,Studies!$A:$A,0)),"")</f>
        <v/>
      </c>
      <c r="J66" s="19">
        <f>IFERROR(INDEX(Estimates!$C:$C,MATCH(A66,Estimates!$AB:$AB,0)),"")</f>
        <v/>
      </c>
      <c r="K66" s="19">
        <f>IFERROR(INDEX(Estimates!$I:$I,MATCH(A66,Estimates!$AB:$AB,0)),"")</f>
        <v/>
      </c>
      <c r="L66" s="19">
        <f>IFERROR(IF(INDEX(Estimates!$C:$C,MATCH(A66,Estimates!$AB:$AB,0))="Doxycycline","Yes","No"),"")</f>
        <v/>
      </c>
      <c r="M66" s="19">
        <f>IFERROR(INDEX(Estimates!$A:$A,MATCH(A66,Estimates!$AB:$AB,0)),"")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30" customWidth="1" min="3" max="3"/>
    <col width="21" customWidth="1" min="4" max="4"/>
    <col width="23" customWidth="1" min="5" max="5"/>
    <col width="14" customWidth="1" min="6" max="6"/>
    <col width="30" customWidth="1" min="7" max="7"/>
    <col width="30" customWidth="1" min="8" max="8"/>
    <col width="30" customWidth="1" min="9" max="9"/>
    <col width="20" customWidth="1" min="10" max="10"/>
    <col width="14" customWidth="1" min="11" max="11"/>
    <col width="26" customWidth="1" min="12" max="12"/>
    <col width="24" customWidth="1" min="13" max="13"/>
    <col width="27" customWidth="1" min="14" max="14"/>
    <col width="14" customWidth="1" min="15" max="15"/>
    <col width="14" customWidth="1" min="16" max="16"/>
    <col width="15" customWidth="1" min="17" max="17"/>
    <col width="14" customWidth="1" min="18" max="18"/>
    <col width="30" customWidth="1" min="19" max="19"/>
    <col width="14" customWidth="1" min="20" max="20"/>
    <col width="30" customWidth="1" min="21" max="21"/>
  </cols>
  <sheetData>
    <row r="1">
      <c r="A1" s="27" t="inlineStr">
        <is>
          <t>Controlled vocabularies (drop-down source lists) — do not delete or reorder</t>
        </is>
      </c>
    </row>
    <row r="2">
      <c r="A2" s="28" t="inlineStr">
        <is>
          <t>design</t>
        </is>
      </c>
      <c r="B2" s="28" t="inlineStr">
        <is>
          <t>setting</t>
        </is>
      </c>
      <c r="C2" s="28" t="inlineStr">
        <is>
          <t>care_context</t>
        </is>
      </c>
      <c r="D2" s="28" t="inlineStr">
        <is>
          <t>age_group</t>
        </is>
      </c>
      <c r="E2" s="28" t="inlineStr">
        <is>
          <t>test_method</t>
        </is>
      </c>
      <c r="F2" s="28" t="inlineStr">
        <is>
          <t>yesno</t>
        </is>
      </c>
      <c r="G2" s="28" t="inlineStr">
        <is>
          <t>exposure_item</t>
        </is>
      </c>
      <c r="H2" s="28" t="inlineStr">
        <is>
          <t>exposure_grouping</t>
        </is>
      </c>
      <c r="I2" s="28" t="inlineStr">
        <is>
          <t>comparator_type</t>
        </is>
      </c>
      <c r="J2" s="28" t="inlineStr">
        <is>
          <t>subgroup</t>
        </is>
      </c>
      <c r="K2" s="28" t="inlineStr">
        <is>
          <t>estimate_type</t>
        </is>
      </c>
      <c r="L2" s="28" t="inlineStr">
        <is>
          <t>adjusted</t>
        </is>
      </c>
      <c r="M2" s="28" t="inlineStr">
        <is>
          <t>combo_context</t>
        </is>
      </c>
      <c r="N2" s="28" t="inlineStr">
        <is>
          <t>adj_status</t>
        </is>
      </c>
      <c r="O2" s="28" t="inlineStr">
        <is>
          <t>star01</t>
        </is>
      </c>
      <c r="P2" s="28" t="inlineStr">
        <is>
          <t>star012</t>
        </is>
      </c>
      <c r="Q2" s="28" t="inlineStr">
        <is>
          <t>rob2</t>
        </is>
      </c>
      <c r="R2" s="28" t="inlineStr">
        <is>
          <t>rob_overall</t>
        </is>
      </c>
      <c r="S2" s="28" t="inlineStr">
        <is>
          <t>provenance</t>
        </is>
      </c>
      <c r="T2" s="28" t="inlineStr">
        <is>
          <t>used_primary</t>
        </is>
      </c>
      <c r="U2" s="28" t="inlineStr">
        <is>
          <t>verified</t>
        </is>
      </c>
    </row>
    <row r="3">
      <c r="A3" s="6" t="inlineStr">
        <is>
          <t>Prospective cohort</t>
        </is>
      </c>
      <c r="B3" s="6" t="inlineStr">
        <is>
          <t>Hospital/acute care</t>
        </is>
      </c>
      <c r="C3" s="6" t="inlineStr">
        <is>
          <t>HA-CDI (healthcare-associated)</t>
        </is>
      </c>
      <c r="D3" s="6" t="inlineStr">
        <is>
          <t>Adults (&gt;=18)</t>
        </is>
      </c>
      <c r="E3" s="6" t="inlineStr">
        <is>
          <t>NAAT/PCR</t>
        </is>
      </c>
      <c r="F3" s="6" t="inlineStr">
        <is>
          <t>Yes</t>
        </is>
      </c>
      <c r="G3" s="6" t="inlineStr">
        <is>
          <t>Tetracyclines (class, pooled)</t>
        </is>
      </c>
      <c r="H3" s="6" t="inlineStr">
        <is>
          <t>Tetracycline-class (pooled)</t>
        </is>
      </c>
      <c r="I3" s="6" t="inlineStr">
        <is>
          <t>Other antibiotics (pooled)</t>
        </is>
      </c>
      <c r="J3" s="6" t="inlineStr">
        <is>
          <t>Overall / primary</t>
        </is>
      </c>
      <c r="K3" s="6" t="inlineStr">
        <is>
          <t>OR</t>
        </is>
      </c>
      <c r="L3" s="6" t="inlineStr">
        <is>
          <t>Adjusted (multivariable)</t>
        </is>
      </c>
      <c r="M3" s="6" t="inlineStr">
        <is>
          <t>Prophylaxis</t>
        </is>
      </c>
      <c r="N3" s="6" t="inlineStr">
        <is>
          <t>A = Adjusted</t>
        </is>
      </c>
      <c r="O3" s="6" t="inlineStr">
        <is>
          <t>1</t>
        </is>
      </c>
      <c r="P3" s="6" t="inlineStr">
        <is>
          <t>2</t>
        </is>
      </c>
      <c r="Q3" s="6" t="inlineStr">
        <is>
          <t>Low</t>
        </is>
      </c>
      <c r="R3" s="6" t="inlineStr">
        <is>
          <t>Low</t>
        </is>
      </c>
      <c r="S3" s="6" t="inlineStr">
        <is>
          <t>tariq-2018 (carried forward)</t>
        </is>
      </c>
      <c r="T3" s="6" t="inlineStr">
        <is>
          <t>Yes</t>
        </is>
      </c>
      <c r="U3" s="6" t="inlineStr">
        <is>
          <t>Verified (dual)</t>
        </is>
      </c>
    </row>
    <row r="4">
      <c r="A4" s="6" t="inlineStr">
        <is>
          <t>Retrospective cohort</t>
        </is>
      </c>
      <c r="B4" s="6" t="inlineStr">
        <is>
          <t>Community</t>
        </is>
      </c>
      <c r="C4" s="6" t="inlineStr">
        <is>
          <t>CA-CDI (community-associated)</t>
        </is>
      </c>
      <c r="D4" s="6" t="inlineStr">
        <is>
          <t>Older adults (&gt;=65)</t>
        </is>
      </c>
      <c r="E4" s="6" t="inlineStr">
        <is>
          <t>Toxin EIA</t>
        </is>
      </c>
      <c r="F4" s="6" t="inlineStr">
        <is>
          <t>No</t>
        </is>
      </c>
      <c r="G4" s="6" t="inlineStr">
        <is>
          <t>Doxycycline</t>
        </is>
      </c>
      <c r="H4" s="6" t="inlineStr">
        <is>
          <t>Individual tetracycline agent</t>
        </is>
      </c>
      <c r="I4" s="6" t="inlineStr">
        <is>
          <t>No antibiotic / unexposed</t>
        </is>
      </c>
      <c r="J4" s="6" t="inlineStr">
        <is>
          <t>Doxycycline-only</t>
        </is>
      </c>
      <c r="K4" s="6" t="inlineStr">
        <is>
          <t>aOR</t>
        </is>
      </c>
      <c r="L4" s="6" t="inlineStr">
        <is>
          <t>Matched</t>
        </is>
      </c>
      <c r="M4" s="6" t="inlineStr">
        <is>
          <t>Treatment of infection</t>
        </is>
      </c>
      <c r="N4" s="6" t="inlineStr">
        <is>
          <t>M = Matched</t>
        </is>
      </c>
      <c r="O4" s="6" t="inlineStr">
        <is>
          <t>0</t>
        </is>
      </c>
      <c r="P4" s="6" t="inlineStr">
        <is>
          <t>1</t>
        </is>
      </c>
      <c r="Q4" s="6" t="inlineStr">
        <is>
          <t>Some concerns</t>
        </is>
      </c>
      <c r="R4" s="6" t="inlineStr">
        <is>
          <t>Moderate</t>
        </is>
      </c>
      <c r="S4" s="6" t="inlineStr">
        <is>
          <t>new-include (fulltext_107)</t>
        </is>
      </c>
      <c r="T4" s="6" t="inlineStr">
        <is>
          <t>No</t>
        </is>
      </c>
      <c r="U4" s="6" t="inlineStr">
        <is>
          <t>Verified (single)</t>
        </is>
      </c>
    </row>
    <row r="5">
      <c r="A5" s="6" t="inlineStr">
        <is>
          <t>Case-control</t>
        </is>
      </c>
      <c r="B5" s="6" t="inlineStr">
        <is>
          <t>Long-term care</t>
        </is>
      </c>
      <c r="C5" s="6" t="inlineStr">
        <is>
          <t>Mixed/Both</t>
        </is>
      </c>
      <c r="D5" s="6" t="inlineStr">
        <is>
          <t>Pediatric (&lt;18)</t>
        </is>
      </c>
      <c r="E5" s="6" t="inlineStr">
        <is>
          <t>GDH</t>
        </is>
      </c>
      <c r="F5" s="6" t="inlineStr">
        <is>
          <t>Unclear</t>
        </is>
      </c>
      <c r="G5" s="6" t="inlineStr">
        <is>
          <t>Minocycline</t>
        </is>
      </c>
      <c r="H5" s="6" t="inlineStr">
        <is>
          <t>Other antibiotic class</t>
        </is>
      </c>
      <c r="I5" s="6" t="inlineStr">
        <is>
          <t>Specific class (see detail)</t>
        </is>
      </c>
      <c r="J5" s="6" t="inlineStr">
        <is>
          <t>Tetracycline-class</t>
        </is>
      </c>
      <c r="K5" s="6" t="inlineStr">
        <is>
          <t>RR</t>
        </is>
      </c>
      <c r="L5" s="6" t="inlineStr">
        <is>
          <t>Crude / unadjusted</t>
        </is>
      </c>
      <c r="M5" s="6" t="inlineStr">
        <is>
          <t>Observed co-exposure</t>
        </is>
      </c>
      <c r="N5" s="6" t="inlineStr">
        <is>
          <t>S = Stratified/restricted</t>
        </is>
      </c>
      <c r="O5" s="6" t="inlineStr">
        <is>
          <t>NR</t>
        </is>
      </c>
      <c r="P5" s="6" t="inlineStr">
        <is>
          <t>0</t>
        </is>
      </c>
      <c r="Q5" s="6" t="inlineStr">
        <is>
          <t>High</t>
        </is>
      </c>
      <c r="R5" s="6" t="inlineStr">
        <is>
          <t>High</t>
        </is>
      </c>
      <c r="S5" s="6" t="inlineStr">
        <is>
          <t>other</t>
        </is>
      </c>
      <c r="T5" s="6" t="inlineStr">
        <is>
          <t>Maybe</t>
        </is>
      </c>
      <c r="U5" s="6" t="inlineStr">
        <is>
          <t>UNVERIFIED - needs extraction</t>
        </is>
      </c>
    </row>
    <row r="6">
      <c r="A6" s="6" t="inlineStr">
        <is>
          <t>Nested case-control</t>
        </is>
      </c>
      <c r="B6" s="6" t="inlineStr">
        <is>
          <t>Mixed</t>
        </is>
      </c>
      <c r="C6" s="6" t="inlineStr">
        <is>
          <t>NR</t>
        </is>
      </c>
      <c r="D6" s="6" t="inlineStr">
        <is>
          <t>Mixed/All ages</t>
        </is>
      </c>
      <c r="E6" s="6" t="inlineStr">
        <is>
          <t>GDH + toxin algorithm</t>
        </is>
      </c>
      <c r="F6" s="6" t="inlineStr">
        <is>
          <t>NR</t>
        </is>
      </c>
      <c r="G6" s="6" t="inlineStr">
        <is>
          <t>Tetracycline</t>
        </is>
      </c>
      <c r="H6" s="6" t="inlineStr">
        <is>
          <t>No antibiotic</t>
        </is>
      </c>
      <c r="I6" s="6" t="inlineStr">
        <is>
          <t>Reference category (multivariable)</t>
        </is>
      </c>
      <c r="J6" s="6" t="inlineStr">
        <is>
          <t>HA-CDI</t>
        </is>
      </c>
      <c r="K6" s="6" t="inlineStr">
        <is>
          <t>aRR</t>
        </is>
      </c>
      <c r="L6" s="6" t="inlineStr">
        <is>
          <t>Unclear</t>
        </is>
      </c>
      <c r="M6" s="6" t="inlineStr">
        <is>
          <t>Trial regimen arm</t>
        </is>
      </c>
      <c r="N6" s="6" t="inlineStr">
        <is>
          <t>N = Not adjusted</t>
        </is>
      </c>
      <c r="P6" s="6" t="inlineStr">
        <is>
          <t>NR</t>
        </is>
      </c>
      <c r="Q6" s="6" t="inlineStr">
        <is>
          <t>NR</t>
        </is>
      </c>
      <c r="R6" s="6" t="inlineStr">
        <is>
          <t>Unclear/NR</t>
        </is>
      </c>
      <c r="U6" s="6" t="inlineStr">
        <is>
          <t>N/A</t>
        </is>
      </c>
    </row>
    <row r="7">
      <c r="A7" s="6" t="inlineStr">
        <is>
          <t>Matched case-control</t>
        </is>
      </c>
      <c r="B7" s="6" t="inlineStr">
        <is>
          <t>Other</t>
        </is>
      </c>
      <c r="D7" s="6" t="inlineStr">
        <is>
          <t>NR</t>
        </is>
      </c>
      <c r="E7" s="6" t="inlineStr">
        <is>
          <t>Toxigenic culture</t>
        </is>
      </c>
      <c r="G7" s="6" t="inlineStr">
        <is>
          <t>Tigecycline</t>
        </is>
      </c>
      <c r="H7" s="6" t="inlineStr">
        <is>
          <t>Any antibiotic (aggregate)</t>
        </is>
      </c>
      <c r="I7" s="6" t="inlineStr">
        <is>
          <t>NR</t>
        </is>
      </c>
      <c r="J7" s="6" t="inlineStr">
        <is>
          <t>CA-CDI</t>
        </is>
      </c>
      <c r="K7" s="6" t="inlineStr">
        <is>
          <t>HR</t>
        </is>
      </c>
      <c r="L7" s="6" t="inlineStr">
        <is>
          <t>NR</t>
        </is>
      </c>
      <c r="M7" s="6" t="inlineStr">
        <is>
          <t>Other</t>
        </is>
      </c>
      <c r="N7" s="6" t="inlineStr">
        <is>
          <t>NR = Not reported</t>
        </is>
      </c>
    </row>
    <row r="8">
      <c r="A8" s="6" t="inlineStr">
        <is>
          <t>Randomized controlled trial</t>
        </is>
      </c>
      <c r="B8" s="6" t="inlineStr">
        <is>
          <t>NR</t>
        </is>
      </c>
      <c r="E8" s="6" t="inlineStr">
        <is>
          <t>Diagnostic code (ICD)</t>
        </is>
      </c>
      <c r="G8" s="6" t="inlineStr">
        <is>
          <t>Eravacycline</t>
        </is>
      </c>
      <c r="J8" s="6" t="inlineStr">
        <is>
          <t>Adjusted analysis</t>
        </is>
      </c>
      <c r="K8" s="6" t="inlineStr">
        <is>
          <t>aHR</t>
        </is>
      </c>
      <c r="M8" s="6" t="inlineStr">
        <is>
          <t>NR</t>
        </is>
      </c>
    </row>
    <row r="9">
      <c r="A9" s="6" t="inlineStr">
        <is>
          <t>Cross-sectional</t>
        </is>
      </c>
      <c r="E9" s="6" t="inlineStr">
        <is>
          <t>Combination/Other</t>
        </is>
      </c>
      <c r="G9" s="6" t="inlineStr">
        <is>
          <t>Omadacycline</t>
        </is>
      </c>
      <c r="J9" s="6" t="inlineStr">
        <is>
          <t>Crude analysis</t>
        </is>
      </c>
      <c r="K9" s="6" t="inlineStr">
        <is>
          <t>IRR</t>
        </is>
      </c>
    </row>
    <row r="10">
      <c r="A10" s="6" t="inlineStr">
        <is>
          <t>Other</t>
        </is>
      </c>
      <c r="E10" s="6" t="inlineStr">
        <is>
          <t>NR</t>
        </is>
      </c>
      <c r="G10" s="6" t="inlineStr">
        <is>
          <t>Sarecycline</t>
        </is>
      </c>
      <c r="J10" s="6" t="inlineStr">
        <is>
          <t>Sensitivity</t>
        </is>
      </c>
      <c r="K10" s="6" t="inlineStr">
        <is>
          <t>aIRR</t>
        </is>
      </c>
    </row>
    <row r="11">
      <c r="G11" s="6" t="inlineStr">
        <is>
          <t>Cephalosporins</t>
        </is>
      </c>
      <c r="J11" s="6" t="inlineStr">
        <is>
          <t>Other</t>
        </is>
      </c>
      <c r="K11" s="6" t="inlineStr">
        <is>
          <t>Rate ratio</t>
        </is>
      </c>
    </row>
    <row r="12">
      <c r="G12" s="6" t="inlineStr">
        <is>
          <t>Fluoroquinolones</t>
        </is>
      </c>
      <c r="K12" s="6" t="inlineStr">
        <is>
          <t>Other</t>
        </is>
      </c>
    </row>
    <row r="13">
      <c r="G13" s="6" t="inlineStr">
        <is>
          <t>Clindamycin</t>
        </is>
      </c>
    </row>
    <row r="14">
      <c r="G14" s="6" t="inlineStr">
        <is>
          <t>Penicillins</t>
        </is>
      </c>
    </row>
    <row r="15">
      <c r="G15" s="6" t="inlineStr">
        <is>
          <t>Carbapenems</t>
        </is>
      </c>
    </row>
    <row r="16">
      <c r="G16" s="6" t="inlineStr">
        <is>
          <t>Macrolides</t>
        </is>
      </c>
    </row>
    <row r="17">
      <c r="G17" s="6" t="inlineStr">
        <is>
          <t>Sulfonamides/TMP-SMX</t>
        </is>
      </c>
    </row>
    <row r="18">
      <c r="G18" s="6" t="inlineStr">
        <is>
          <t>Aminoglycosides</t>
        </is>
      </c>
    </row>
    <row r="19">
      <c r="G19" s="6" t="inlineStr">
        <is>
          <t>Metronidazole</t>
        </is>
      </c>
    </row>
    <row r="20">
      <c r="G20" s="6" t="inlineStr">
        <is>
          <t>Vancomycin</t>
        </is>
      </c>
    </row>
    <row r="21">
      <c r="G21" s="6" t="inlineStr">
        <is>
          <t>Nitrofurantoin</t>
        </is>
      </c>
    </row>
    <row r="22">
      <c r="G22" s="6" t="inlineStr">
        <is>
          <t>PPI/acid suppression</t>
        </is>
      </c>
    </row>
    <row r="23">
      <c r="G23" s="6" t="inlineStr">
        <is>
          <t>Other antibiotic (see detail)</t>
        </is>
      </c>
    </row>
    <row r="24">
      <c r="G24" s="6" t="inlineStr">
        <is>
          <t>No antibiotic / unexposed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2026-07-29T06:18:30Z</dcterms:created>
  <dcterms:modified xmlns:dcterms="http://purl.org/dc/terms/" xmlns:xsi="http://www.w3.org/2001/XMLSchema-instance" xsi:type="dcterms:W3CDTF">2026-07-29T09:25:11Z</dcterms:modified>
</cp:coreProperties>
</file>